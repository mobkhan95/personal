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mobas\Desktop\"/>
    </mc:Choice>
  </mc:AlternateContent>
  <xr:revisionPtr revIDLastSave="0" documentId="13_ncr:1_{0AEC1C73-F2F1-4DFD-9CCE-8E52F1EB98D5}" xr6:coauthVersionLast="40" xr6:coauthVersionMax="40" xr10:uidLastSave="{00000000-0000-0000-0000-000000000000}"/>
  <bookViews>
    <workbookView xWindow="1080" yWindow="-110" windowWidth="18230" windowHeight="11020" xr2:uid="{5CCF84AA-7997-45F2-9DD6-623BE549E892}"/>
  </bookViews>
  <sheets>
    <sheet name="Sheet1" sheetId="1" r:id="rId1"/>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7" i="1" l="1"/>
</calcChain>
</file>

<file path=xl/sharedStrings.xml><?xml version="1.0" encoding="utf-8"?>
<sst xmlns="http://schemas.openxmlformats.org/spreadsheetml/2006/main" count="32" uniqueCount="32">
  <si>
    <t>spot</t>
  </si>
  <si>
    <t xml:space="preserve"> domestic interest rate</t>
  </si>
  <si>
    <t xml:space="preserve"> foreign interest rate</t>
  </si>
  <si>
    <t xml:space="preserve"> volatility</t>
  </si>
  <si>
    <t xml:space="preserve"> strike</t>
  </si>
  <si>
    <t xml:space="preserve"> today’s date</t>
  </si>
  <si>
    <t xml:space="preserve"> expiration date</t>
  </si>
  <si>
    <t>starting spot</t>
  </si>
  <si>
    <t>end spot</t>
  </si>
  <si>
    <t>number of spots in between</t>
  </si>
  <si>
    <t>Value</t>
  </si>
  <si>
    <t xml:space="preserve"> Delta</t>
  </si>
  <si>
    <t xml:space="preserve"> Gamma</t>
  </si>
  <si>
    <t xml:space="preserve"> Vega</t>
  </si>
  <si>
    <t xml:space="preserve"> Theta</t>
  </si>
  <si>
    <t xml:space="preserve"> Phi</t>
  </si>
  <si>
    <t xml:space="preserve"> Rho</t>
  </si>
  <si>
    <t>Greek 1</t>
  </si>
  <si>
    <t>Greek 2</t>
  </si>
  <si>
    <t>Spot</t>
  </si>
  <si>
    <t>USD</t>
  </si>
  <si>
    <t>USD change in Value for 1USD change in Spot</t>
  </si>
  <si>
    <t>Change in Delta for 1USD change in Spot</t>
  </si>
  <si>
    <t>USD change in Value for 100% change in Volatility</t>
  </si>
  <si>
    <t>USD change in Value for 1 year change in time</t>
  </si>
  <si>
    <t>USD change in Value for 100% change in foreign Interest rate</t>
  </si>
  <si>
    <t>USD change in Value for 100% change in domestic Interest rate</t>
  </si>
  <si>
    <t>Units</t>
  </si>
  <si>
    <t>Equation</t>
  </si>
  <si>
    <t>Conventional</t>
  </si>
  <si>
    <t>Theta</t>
  </si>
  <si>
    <t>Gamma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</si>
</sst>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rgb="FFF2F2F2"/>
      </patternFill>
    </fill>
  </fills>
  <borders count="4">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0" fontId="1" fillId="0" borderId="1" applyNumberFormat="0" applyFill="0" applyAlignment="0" applyProtection="0"/>
    <xf numFmtId="0" fontId="2" fillId="2" borderId="2" applyNumberFormat="0" applyAlignment="0" applyProtection="0"/>
    <xf numFmtId="0" fontId="3" fillId="3" borderId="3" applyNumberFormat="0" applyAlignment="0" applyProtection="0"/>
  </cellStyleXfs>
  <cellXfs count="11">
    <xf numFmtId="0" fontId="0" fillId="0" borderId="0" xfId="0"/>
    <xf numFmtId="9" fontId="0" fillId="0" borderId="0" xfId="0" applyNumberFormat="1"/>
    <xf numFmtId="0" fontId="0" fillId="0" borderId="0" xfId="0"/>
    <xf numFmtId="10" fontId="0" fillId="0" borderId="0" xfId="0" applyNumberFormat="1"/>
    <xf numFmtId="14" fontId="0" fillId="0" borderId="0" xfId="0" applyNumberFormat="1"/>
    <xf numFmtId="0" fontId="0" fillId="0" borderId="0" xfId="0" applyAlignment="1">
      <alignment wrapText="1"/>
    </xf>
    <xf numFmtId="0" fontId="0" fillId="0" borderId="0" xfId="0" applyAlignment="1"/>
    <xf numFmtId="0" fontId="3" fillId="3" borderId="3" xfId="3" applyAlignment="1">
      <alignment horizontal="right"/>
    </xf>
    <xf numFmtId="0" fontId="2" fillId="2" borderId="2" xfId="2"/>
    <xf numFmtId="0" fontId="2" fillId="2" borderId="2" xfId="2" applyAlignment="1"/>
    <xf numFmtId="0" fontId="1" fillId="0" borderId="1" xfId="1"/>
  </cellXfs>
  <cellStyles count="4">
    <cellStyle name="Heading 2" xfId="1" builtinId="17"/>
    <cellStyle name="Input" xfId="2" builtinId="20"/>
    <cellStyle name="Normal" xfId="0" builtinId="0"/>
    <cellStyle name="Output" xfId="3"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Spot - Theta</a:t>
            </a:r>
          </a:p>
        </c:rich>
      </c:tx>
      <c:overlay val="0"/>
    </c:title>
    <c:autoTitleDeleted val="0"/>
    <c:plotArea>
      <c:layout/>
      <c:scatterChart>
        <c:scatterStyle val="lineMarker"/>
        <c:varyColors val="0"/>
        <c:ser>
          <c:idx val="0"/>
          <c:order val="0"/>
          <c:xVal>
            <c:numRef>
              <c:f>Sheet1!$G$2:$G$102</c:f>
              <c:numCache>
                <c:formatCode>General</c:formatCode>
                <c:ptCount val="101"/>
                <c:pt idx="0">
                  <c:v>100</c:v>
                </c:pt>
                <c:pt idx="1">
                  <c:v>100.5</c:v>
                </c:pt>
                <c:pt idx="2">
                  <c:v>101</c:v>
                </c:pt>
                <c:pt idx="3">
                  <c:v>101.5</c:v>
                </c:pt>
                <c:pt idx="4">
                  <c:v>102</c:v>
                </c:pt>
                <c:pt idx="5">
                  <c:v>102.5</c:v>
                </c:pt>
                <c:pt idx="6">
                  <c:v>103</c:v>
                </c:pt>
                <c:pt idx="7">
                  <c:v>103.5</c:v>
                </c:pt>
                <c:pt idx="8">
                  <c:v>104</c:v>
                </c:pt>
                <c:pt idx="9">
                  <c:v>104.5</c:v>
                </c:pt>
                <c:pt idx="10">
                  <c:v>105</c:v>
                </c:pt>
                <c:pt idx="11">
                  <c:v>105.5</c:v>
                </c:pt>
                <c:pt idx="12">
                  <c:v>106</c:v>
                </c:pt>
                <c:pt idx="13">
                  <c:v>106.5</c:v>
                </c:pt>
                <c:pt idx="14">
                  <c:v>107</c:v>
                </c:pt>
                <c:pt idx="15">
                  <c:v>107.5</c:v>
                </c:pt>
                <c:pt idx="16">
                  <c:v>108</c:v>
                </c:pt>
                <c:pt idx="17">
                  <c:v>108.5</c:v>
                </c:pt>
                <c:pt idx="18">
                  <c:v>109</c:v>
                </c:pt>
                <c:pt idx="19">
                  <c:v>109.5</c:v>
                </c:pt>
                <c:pt idx="20">
                  <c:v>110</c:v>
                </c:pt>
                <c:pt idx="21">
                  <c:v>110.5</c:v>
                </c:pt>
                <c:pt idx="22">
                  <c:v>111</c:v>
                </c:pt>
                <c:pt idx="23">
                  <c:v>111.5</c:v>
                </c:pt>
                <c:pt idx="24">
                  <c:v>112</c:v>
                </c:pt>
                <c:pt idx="25">
                  <c:v>112.5</c:v>
                </c:pt>
                <c:pt idx="26">
                  <c:v>113</c:v>
                </c:pt>
                <c:pt idx="27">
                  <c:v>113.5</c:v>
                </c:pt>
                <c:pt idx="28">
                  <c:v>114</c:v>
                </c:pt>
                <c:pt idx="29">
                  <c:v>114.5</c:v>
                </c:pt>
                <c:pt idx="30">
                  <c:v>115</c:v>
                </c:pt>
                <c:pt idx="31">
                  <c:v>115.5</c:v>
                </c:pt>
                <c:pt idx="32">
                  <c:v>116</c:v>
                </c:pt>
                <c:pt idx="33">
                  <c:v>116.5</c:v>
                </c:pt>
                <c:pt idx="34">
                  <c:v>117</c:v>
                </c:pt>
                <c:pt idx="35">
                  <c:v>117.5</c:v>
                </c:pt>
                <c:pt idx="36">
                  <c:v>118</c:v>
                </c:pt>
                <c:pt idx="37">
                  <c:v>118.5</c:v>
                </c:pt>
                <c:pt idx="38">
                  <c:v>119</c:v>
                </c:pt>
                <c:pt idx="39">
                  <c:v>119.5</c:v>
                </c:pt>
                <c:pt idx="40">
                  <c:v>120</c:v>
                </c:pt>
                <c:pt idx="41">
                  <c:v>120.5</c:v>
                </c:pt>
                <c:pt idx="42">
                  <c:v>121</c:v>
                </c:pt>
                <c:pt idx="43">
                  <c:v>121.5</c:v>
                </c:pt>
                <c:pt idx="44">
                  <c:v>122</c:v>
                </c:pt>
                <c:pt idx="45">
                  <c:v>122.5</c:v>
                </c:pt>
                <c:pt idx="46">
                  <c:v>123</c:v>
                </c:pt>
                <c:pt idx="47">
                  <c:v>123.5</c:v>
                </c:pt>
                <c:pt idx="48">
                  <c:v>124</c:v>
                </c:pt>
                <c:pt idx="49">
                  <c:v>124.5</c:v>
                </c:pt>
                <c:pt idx="50">
                  <c:v>125</c:v>
                </c:pt>
                <c:pt idx="51">
                  <c:v>125.5</c:v>
                </c:pt>
                <c:pt idx="52">
                  <c:v>126</c:v>
                </c:pt>
                <c:pt idx="53">
                  <c:v>126.5</c:v>
                </c:pt>
                <c:pt idx="54">
                  <c:v>127</c:v>
                </c:pt>
                <c:pt idx="55">
                  <c:v>127.5</c:v>
                </c:pt>
                <c:pt idx="56">
                  <c:v>128</c:v>
                </c:pt>
                <c:pt idx="57">
                  <c:v>128.5</c:v>
                </c:pt>
                <c:pt idx="58">
                  <c:v>129</c:v>
                </c:pt>
                <c:pt idx="59">
                  <c:v>129.5</c:v>
                </c:pt>
                <c:pt idx="60">
                  <c:v>130</c:v>
                </c:pt>
                <c:pt idx="61">
                  <c:v>130.5</c:v>
                </c:pt>
                <c:pt idx="62">
                  <c:v>131</c:v>
                </c:pt>
                <c:pt idx="63">
                  <c:v>131.5</c:v>
                </c:pt>
                <c:pt idx="64">
                  <c:v>132</c:v>
                </c:pt>
                <c:pt idx="65">
                  <c:v>132.5</c:v>
                </c:pt>
                <c:pt idx="66">
                  <c:v>133</c:v>
                </c:pt>
                <c:pt idx="67">
                  <c:v>133.5</c:v>
                </c:pt>
                <c:pt idx="68">
                  <c:v>134</c:v>
                </c:pt>
                <c:pt idx="69">
                  <c:v>134.5</c:v>
                </c:pt>
                <c:pt idx="70">
                  <c:v>135</c:v>
                </c:pt>
                <c:pt idx="71">
                  <c:v>135.5</c:v>
                </c:pt>
                <c:pt idx="72">
                  <c:v>136</c:v>
                </c:pt>
                <c:pt idx="73">
                  <c:v>136.5</c:v>
                </c:pt>
                <c:pt idx="74">
                  <c:v>137</c:v>
                </c:pt>
                <c:pt idx="75">
                  <c:v>137.5</c:v>
                </c:pt>
                <c:pt idx="76">
                  <c:v>138</c:v>
                </c:pt>
                <c:pt idx="77">
                  <c:v>138.5</c:v>
                </c:pt>
                <c:pt idx="78">
                  <c:v>139</c:v>
                </c:pt>
                <c:pt idx="79">
                  <c:v>139.5</c:v>
                </c:pt>
                <c:pt idx="80">
                  <c:v>140</c:v>
                </c:pt>
                <c:pt idx="81">
                  <c:v>140.5</c:v>
                </c:pt>
                <c:pt idx="82">
                  <c:v>141</c:v>
                </c:pt>
                <c:pt idx="83">
                  <c:v>141.5</c:v>
                </c:pt>
                <c:pt idx="84">
                  <c:v>142</c:v>
                </c:pt>
                <c:pt idx="85">
                  <c:v>142.5</c:v>
                </c:pt>
                <c:pt idx="86">
                  <c:v>143</c:v>
                </c:pt>
                <c:pt idx="87">
                  <c:v>143.5</c:v>
                </c:pt>
                <c:pt idx="88">
                  <c:v>144</c:v>
                </c:pt>
                <c:pt idx="89">
                  <c:v>144.5</c:v>
                </c:pt>
                <c:pt idx="90">
                  <c:v>145</c:v>
                </c:pt>
                <c:pt idx="91">
                  <c:v>145.5</c:v>
                </c:pt>
                <c:pt idx="92">
                  <c:v>146</c:v>
                </c:pt>
                <c:pt idx="93">
                  <c:v>146.5</c:v>
                </c:pt>
                <c:pt idx="94">
                  <c:v>147</c:v>
                </c:pt>
                <c:pt idx="95">
                  <c:v>147.5</c:v>
                </c:pt>
                <c:pt idx="96">
                  <c:v>148</c:v>
                </c:pt>
                <c:pt idx="97">
                  <c:v>148.5</c:v>
                </c:pt>
                <c:pt idx="98">
                  <c:v>149</c:v>
                </c:pt>
                <c:pt idx="99">
                  <c:v>149.5</c:v>
                </c:pt>
                <c:pt idx="100">
                  <c:v>150</c:v>
                </c:pt>
              </c:numCache>
            </c:numRef>
          </c:xVal>
          <c:yVal>
            <c:numRef>
              <c:f>Sheet1!$H$2:$H$102</c:f>
              <c:numCache>
                <c:formatCode>General</c:formatCode>
                <c:ptCount val="101"/>
                <c:pt idx="0">
                  <c:v>-5.1849695225064177E-3</c:v>
                </c:pt>
                <c:pt idx="1">
                  <c:v>-7.40745551610833E-3</c:v>
                </c:pt>
                <c:pt idx="2">
                  <c:v>-1.0459556864717133E-2</c:v>
                </c:pt>
                <c:pt idx="3">
                  <c:v>-1.4599775634355733E-2</c:v>
                </c:pt>
                <c:pt idx="4">
                  <c:v>-2.0148071144071824E-2</c:v>
                </c:pt>
                <c:pt idx="5">
                  <c:v>-2.7494090523788518E-2</c:v>
                </c:pt>
                <c:pt idx="6">
                  <c:v>-3.7104490064526117E-2</c:v>
                </c:pt>
                <c:pt idx="7">
                  <c:v>-4.9528579653663404E-2</c:v>
                </c:pt>
                <c:pt idx="8">
                  <c:v>-6.5401402280662393E-2</c:v>
                </c:pt>
                <c:pt idx="9">
                  <c:v>-8.5443276483931851E-2</c:v>
                </c:pt>
                <c:pt idx="10">
                  <c:v>-0.11045479931655061</c:v>
                </c:pt>
                <c:pt idx="11">
                  <c:v>-0.14130634791061683</c:v>
                </c:pt>
                <c:pt idx="12">
                  <c:v>-0.17892124336448892</c:v>
                </c:pt>
                <c:pt idx="13">
                  <c:v>-0.22425196106392753</c:v>
                </c:pt>
                <c:pt idx="14">
                  <c:v>-0.27824908948257071</c:v>
                </c:pt>
                <c:pt idx="15">
                  <c:v>-0.34182314929338176</c:v>
                </c:pt>
                <c:pt idx="16">
                  <c:v>-0.4157998709655833</c:v>
                </c:pt>
                <c:pt idx="17">
                  <c:v>-0.50087006677682466</c:v>
                </c:pt>
                <c:pt idx="18">
                  <c:v>-0.59753578811587538</c:v>
                </c:pt>
                <c:pt idx="19">
                  <c:v>-0.70605498964941837</c:v>
                </c:pt>
                <c:pt idx="20">
                  <c:v>-0.82638738262609512</c:v>
                </c:pt>
                <c:pt idx="21">
                  <c:v>-0.95814450397949869</c:v>
                </c:pt>
                <c:pt idx="22">
                  <c:v>-1.1005472133893597</c:v>
                </c:pt>
                <c:pt idx="23">
                  <c:v>-1.2523938226396718</c:v>
                </c:pt>
                <c:pt idx="24">
                  <c:v>-1.4120418382808038</c:v>
                </c:pt>
                <c:pt idx="25">
                  <c:v>-1.5774058530654844</c:v>
                </c:pt>
                <c:pt idx="26">
                  <c:v>-1.7459734647252754</c:v>
                </c:pt>
                <c:pt idx="27">
                  <c:v>-1.9148402612475752</c:v>
                </c:pt>
                <c:pt idx="28">
                  <c:v>-2.0807639355823069</c:v>
                </c:pt>
                <c:pt idx="29">
                  <c:v>-2.2402365392642265</c:v>
                </c:pt>
                <c:pt idx="30">
                  <c:v>-2.3895728229776254</c:v>
                </c:pt>
                <c:pt idx="31">
                  <c:v>-2.5250116159607101</c:v>
                </c:pt>
                <c:pt idx="32">
                  <c:v>-2.6428263368226386</c:v>
                </c:pt>
                <c:pt idx="33">
                  <c:v>-2.7394400694148029</c:v>
                </c:pt>
                <c:pt idx="34">
                  <c:v>-2.8115402291267451</c:v>
                </c:pt>
                <c:pt idx="35">
                  <c:v>-2.8561877199999857</c:v>
                </c:pt>
                <c:pt idx="36">
                  <c:v>-2.8709156535932721</c:v>
                </c:pt>
                <c:pt idx="37">
                  <c:v>-2.8538131574136911</c:v>
                </c:pt>
                <c:pt idx="38">
                  <c:v>-2.8035905142465571</c:v>
                </c:pt>
                <c:pt idx="39">
                  <c:v>-2.7196227962563215</c:v>
                </c:pt>
                <c:pt idx="40">
                  <c:v>-2.6019702955729347</c:v>
                </c:pt>
                <c:pt idx="41">
                  <c:v>-2.4513775502271864</c:v>
                </c:pt>
                <c:pt idx="42">
                  <c:v>-2.2692438555228995</c:v>
                </c:pt>
                <c:pt idx="43">
                  <c:v>-2.0575762612062305</c:v>
                </c:pt>
                <c:pt idx="44">
                  <c:v>-1.818923346998085</c:v>
                </c:pt>
                <c:pt idx="45">
                  <c:v>-1.556292521027163</c:v>
                </c:pt>
                <c:pt idx="46">
                  <c:v>-1.2730557966703571</c:v>
                </c:pt>
                <c:pt idx="47">
                  <c:v>-0.97284823837158929</c:v>
                </c:pt>
                <c:pt idx="48">
                  <c:v>-0.65946339140744903</c:v>
                </c:pt>
                <c:pt idx="49">
                  <c:v>-0.33674986558996794</c:v>
                </c:pt>
                <c:pt idx="50">
                  <c:v>-8.5128957024357375E-3</c:v>
                </c:pt>
                <c:pt idx="51">
                  <c:v>0.32157581104505006</c:v>
                </c:pt>
                <c:pt idx="52">
                  <c:v>0.65005726424988652</c:v>
                </c:pt>
                <c:pt idx="53">
                  <c:v>0.97375144837910355</c:v>
                </c:pt>
                <c:pt idx="54">
                  <c:v>1.2898094179138866</c:v>
                </c:pt>
                <c:pt idx="55">
                  <c:v>1.5957507183111046</c:v>
                </c:pt>
                <c:pt idx="56">
                  <c:v>1.8894862889397646</c:v>
                </c:pt>
                <c:pt idx="57">
                  <c:v>2.1693275887502028</c:v>
                </c:pt>
                <c:pt idx="58">
                  <c:v>2.4339831660708224</c:v>
                </c:pt>
                <c:pt idx="59">
                  <c:v>2.6825442583187136</c:v>
                </c:pt>
                <c:pt idx="60">
                  <c:v>2.9144612517073929</c:v>
                </c:pt>
                <c:pt idx="61">
                  <c:v>3.1295129588691473</c:v>
                </c:pt>
                <c:pt idx="62">
                  <c:v>3.3277706934700193</c:v>
                </c:pt>
                <c:pt idx="63">
                  <c:v>3.5095590497837525</c:v>
                </c:pt>
                <c:pt idx="64">
                  <c:v>3.6754151492079727</c:v>
                </c:pt>
                <c:pt idx="65">
                  <c:v>3.8260479137029413</c:v>
                </c:pt>
                <c:pt idx="66">
                  <c:v>3.9622986870182371</c:v>
                </c:pt>
                <c:pt idx="67">
                  <c:v>4.0851042661596999</c:v>
                </c:pt>
                <c:pt idx="68">
                  <c:v>4.1954631436741101</c:v>
                </c:pt>
                <c:pt idx="69">
                  <c:v>4.2944055092591453</c:v>
                </c:pt>
                <c:pt idx="70">
                  <c:v>4.3829673273193297</c:v>
                </c:pt>
                <c:pt idx="71">
                  <c:v>4.4621686028011878</c:v>
                </c:pt>
                <c:pt idx="72">
                  <c:v>4.5329957755354373</c:v>
                </c:pt>
                <c:pt idx="73">
                  <c:v>4.5963880454223975</c:v>
                </c:pt>
                <c:pt idx="74">
                  <c:v>4.6532273269847</c:v>
                </c:pt>
                <c:pt idx="75">
                  <c:v>4.7043314602201516</c:v>
                </c:pt>
                <c:pt idx="76">
                  <c:v>4.7504502621907916</c:v>
                </c:pt>
                <c:pt idx="77">
                  <c:v>4.7922639864248113</c:v>
                </c:pt>
                <c:pt idx="78">
                  <c:v>4.8303837605935191</c:v>
                </c:pt>
                <c:pt idx="79">
                  <c:v>4.8653535925621059</c:v>
                </c:pt>
                <c:pt idx="80">
                  <c:v>4.8976535664731422</c:v>
                </c:pt>
                <c:pt idx="81">
                  <c:v>4.9277038900408643</c:v>
                </c:pt>
                <c:pt idx="82">
                  <c:v>4.9558694982423495</c:v>
                </c:pt>
                <c:pt idx="83">
                  <c:v>4.9824649641847687</c:v>
                </c:pt>
                <c:pt idx="84">
                  <c:v>5.0077595127907335</c:v>
                </c:pt>
                <c:pt idx="85">
                  <c:v>5.0319819753332755</c:v>
                </c:pt>
                <c:pt idx="86">
                  <c:v>5.0553255615514354</c:v>
                </c:pt>
                <c:pt idx="87">
                  <c:v>5.077952360333148</c:v>
                </c:pt>
                <c:pt idx="88">
                  <c:v>5.0999975093984453</c:v>
                </c:pt>
                <c:pt idx="89">
                  <c:v>5.1215729989988334</c:v>
                </c:pt>
                <c:pt idx="90">
                  <c:v>5.1427710945496763</c:v>
                </c:pt>
                <c:pt idx="91">
                  <c:v>5.1636673786806551</c:v>
                </c:pt>
                <c:pt idx="92">
                  <c:v>5.1843234248811143</c:v>
                </c:pt>
                <c:pt idx="93">
                  <c:v>5.2047891232452699</c:v>
                </c:pt>
                <c:pt idx="94">
                  <c:v>5.2251046843168192</c:v>
                </c:pt>
                <c:pt idx="95">
                  <c:v>5.2453023502097862</c:v>
                </c:pt>
                <c:pt idx="96">
                  <c:v>5.2654078435240317</c:v>
                </c:pt>
                <c:pt idx="97">
                  <c:v>5.285441584512653</c:v>
                </c:pt>
                <c:pt idx="98">
                  <c:v>5.3054197058713815</c:v>
                </c:pt>
                <c:pt idx="99">
                  <c:v>5.3253548927254073</c:v>
                </c:pt>
                <c:pt idx="100">
                  <c:v>5.3452570731478533</c:v>
                </c:pt>
              </c:numCache>
            </c:numRef>
          </c:yVal>
          <c:smooth val="0"/>
          <c:extLst>
            <c:ext xmlns:c16="http://schemas.microsoft.com/office/drawing/2014/chart" uri="{C3380CC4-5D6E-409C-BE32-E72D297353CC}">
              <c16:uniqueId val="{00000000-4F33-43F3-B284-B378BC034251}"/>
            </c:ext>
          </c:extLst>
        </c:ser>
        <c:dLbls>
          <c:showLegendKey val="0"/>
          <c:showVal val="0"/>
          <c:showCatName val="0"/>
          <c:showSerName val="0"/>
          <c:showPercent val="0"/>
          <c:showBubbleSize val="0"/>
        </c:dLbls>
        <c:axId val="508894520"/>
        <c:axId val="508891568"/>
      </c:scatterChart>
      <c:valAx>
        <c:axId val="508894520"/>
        <c:scaling>
          <c:orientation val="minMax"/>
          <c:max val="150"/>
          <c:min val="100"/>
        </c:scaling>
        <c:delete val="0"/>
        <c:axPos val="b"/>
        <c:title>
          <c:tx>
            <c:rich>
              <a:bodyPr/>
              <a:lstStyle/>
              <a:p>
                <a:pPr>
                  <a:defRPr/>
                </a:pPr>
                <a:r>
                  <a:rPr lang="en-US"/>
                  <a:t>Spot Prices</a:t>
                </a:r>
              </a:p>
            </c:rich>
          </c:tx>
          <c:overlay val="0"/>
        </c:title>
        <c:numFmt formatCode="General" sourceLinked="1"/>
        <c:majorTickMark val="out"/>
        <c:minorTickMark val="none"/>
        <c:tickLblPos val="nextTo"/>
        <c:crossAx val="508891568"/>
        <c:crosses val="autoZero"/>
        <c:crossBetween val="midCat"/>
      </c:valAx>
      <c:valAx>
        <c:axId val="508891568"/>
        <c:scaling>
          <c:orientation val="minMax"/>
        </c:scaling>
        <c:delete val="0"/>
        <c:axPos val="l"/>
        <c:majorGridlines/>
        <c:title>
          <c:tx>
            <c:rich>
              <a:bodyPr/>
              <a:lstStyle/>
              <a:p>
                <a:pPr>
                  <a:defRPr/>
                </a:pPr>
                <a:r>
                  <a:rPr lang="en-US"/>
                  <a:t>Theta</a:t>
                </a:r>
              </a:p>
            </c:rich>
          </c:tx>
          <c:overlay val="0"/>
        </c:title>
        <c:numFmt formatCode="General" sourceLinked="1"/>
        <c:majorTickMark val="out"/>
        <c:minorTickMark val="none"/>
        <c:tickLblPos val="nextTo"/>
        <c:crossAx val="508894520"/>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Spot - Gamma</a:t>
            </a:r>
          </a:p>
        </c:rich>
      </c:tx>
      <c:overlay val="0"/>
    </c:title>
    <c:autoTitleDeleted val="0"/>
    <c:plotArea>
      <c:layout/>
      <c:scatterChart>
        <c:scatterStyle val="lineMarker"/>
        <c:varyColors val="0"/>
        <c:ser>
          <c:idx val="0"/>
          <c:order val="0"/>
          <c:xVal>
            <c:numRef>
              <c:f>Sheet1!$G$2:$G$102</c:f>
              <c:numCache>
                <c:formatCode>General</c:formatCode>
                <c:ptCount val="101"/>
                <c:pt idx="0">
                  <c:v>100</c:v>
                </c:pt>
                <c:pt idx="1">
                  <c:v>100.5</c:v>
                </c:pt>
                <c:pt idx="2">
                  <c:v>101</c:v>
                </c:pt>
                <c:pt idx="3">
                  <c:v>101.5</c:v>
                </c:pt>
                <c:pt idx="4">
                  <c:v>102</c:v>
                </c:pt>
                <c:pt idx="5">
                  <c:v>102.5</c:v>
                </c:pt>
                <c:pt idx="6">
                  <c:v>103</c:v>
                </c:pt>
                <c:pt idx="7">
                  <c:v>103.5</c:v>
                </c:pt>
                <c:pt idx="8">
                  <c:v>104</c:v>
                </c:pt>
                <c:pt idx="9">
                  <c:v>104.5</c:v>
                </c:pt>
                <c:pt idx="10">
                  <c:v>105</c:v>
                </c:pt>
                <c:pt idx="11">
                  <c:v>105.5</c:v>
                </c:pt>
                <c:pt idx="12">
                  <c:v>106</c:v>
                </c:pt>
                <c:pt idx="13">
                  <c:v>106.5</c:v>
                </c:pt>
                <c:pt idx="14">
                  <c:v>107</c:v>
                </c:pt>
                <c:pt idx="15">
                  <c:v>107.5</c:v>
                </c:pt>
                <c:pt idx="16">
                  <c:v>108</c:v>
                </c:pt>
                <c:pt idx="17">
                  <c:v>108.5</c:v>
                </c:pt>
                <c:pt idx="18">
                  <c:v>109</c:v>
                </c:pt>
                <c:pt idx="19">
                  <c:v>109.5</c:v>
                </c:pt>
                <c:pt idx="20">
                  <c:v>110</c:v>
                </c:pt>
                <c:pt idx="21">
                  <c:v>110.5</c:v>
                </c:pt>
                <c:pt idx="22">
                  <c:v>111</c:v>
                </c:pt>
                <c:pt idx="23">
                  <c:v>111.5</c:v>
                </c:pt>
                <c:pt idx="24">
                  <c:v>112</c:v>
                </c:pt>
                <c:pt idx="25">
                  <c:v>112.5</c:v>
                </c:pt>
                <c:pt idx="26">
                  <c:v>113</c:v>
                </c:pt>
                <c:pt idx="27">
                  <c:v>113.5</c:v>
                </c:pt>
                <c:pt idx="28">
                  <c:v>114</c:v>
                </c:pt>
                <c:pt idx="29">
                  <c:v>114.5</c:v>
                </c:pt>
                <c:pt idx="30">
                  <c:v>115</c:v>
                </c:pt>
                <c:pt idx="31">
                  <c:v>115.5</c:v>
                </c:pt>
                <c:pt idx="32">
                  <c:v>116</c:v>
                </c:pt>
                <c:pt idx="33">
                  <c:v>116.5</c:v>
                </c:pt>
                <c:pt idx="34">
                  <c:v>117</c:v>
                </c:pt>
                <c:pt idx="35">
                  <c:v>117.5</c:v>
                </c:pt>
                <c:pt idx="36">
                  <c:v>118</c:v>
                </c:pt>
                <c:pt idx="37">
                  <c:v>118.5</c:v>
                </c:pt>
                <c:pt idx="38">
                  <c:v>119</c:v>
                </c:pt>
                <c:pt idx="39">
                  <c:v>119.5</c:v>
                </c:pt>
                <c:pt idx="40">
                  <c:v>120</c:v>
                </c:pt>
                <c:pt idx="41">
                  <c:v>120.5</c:v>
                </c:pt>
                <c:pt idx="42">
                  <c:v>121</c:v>
                </c:pt>
                <c:pt idx="43">
                  <c:v>121.5</c:v>
                </c:pt>
                <c:pt idx="44">
                  <c:v>122</c:v>
                </c:pt>
                <c:pt idx="45">
                  <c:v>122.5</c:v>
                </c:pt>
                <c:pt idx="46">
                  <c:v>123</c:v>
                </c:pt>
                <c:pt idx="47">
                  <c:v>123.5</c:v>
                </c:pt>
                <c:pt idx="48">
                  <c:v>124</c:v>
                </c:pt>
                <c:pt idx="49">
                  <c:v>124.5</c:v>
                </c:pt>
                <c:pt idx="50">
                  <c:v>125</c:v>
                </c:pt>
                <c:pt idx="51">
                  <c:v>125.5</c:v>
                </c:pt>
                <c:pt idx="52">
                  <c:v>126</c:v>
                </c:pt>
                <c:pt idx="53">
                  <c:v>126.5</c:v>
                </c:pt>
                <c:pt idx="54">
                  <c:v>127</c:v>
                </c:pt>
                <c:pt idx="55">
                  <c:v>127.5</c:v>
                </c:pt>
                <c:pt idx="56">
                  <c:v>128</c:v>
                </c:pt>
                <c:pt idx="57">
                  <c:v>128.5</c:v>
                </c:pt>
                <c:pt idx="58">
                  <c:v>129</c:v>
                </c:pt>
                <c:pt idx="59">
                  <c:v>129.5</c:v>
                </c:pt>
                <c:pt idx="60">
                  <c:v>130</c:v>
                </c:pt>
                <c:pt idx="61">
                  <c:v>130.5</c:v>
                </c:pt>
                <c:pt idx="62">
                  <c:v>131</c:v>
                </c:pt>
                <c:pt idx="63">
                  <c:v>131.5</c:v>
                </c:pt>
                <c:pt idx="64">
                  <c:v>132</c:v>
                </c:pt>
                <c:pt idx="65">
                  <c:v>132.5</c:v>
                </c:pt>
                <c:pt idx="66">
                  <c:v>133</c:v>
                </c:pt>
                <c:pt idx="67">
                  <c:v>133.5</c:v>
                </c:pt>
                <c:pt idx="68">
                  <c:v>134</c:v>
                </c:pt>
                <c:pt idx="69">
                  <c:v>134.5</c:v>
                </c:pt>
                <c:pt idx="70">
                  <c:v>135</c:v>
                </c:pt>
                <c:pt idx="71">
                  <c:v>135.5</c:v>
                </c:pt>
                <c:pt idx="72">
                  <c:v>136</c:v>
                </c:pt>
                <c:pt idx="73">
                  <c:v>136.5</c:v>
                </c:pt>
                <c:pt idx="74">
                  <c:v>137</c:v>
                </c:pt>
                <c:pt idx="75">
                  <c:v>137.5</c:v>
                </c:pt>
                <c:pt idx="76">
                  <c:v>138</c:v>
                </c:pt>
                <c:pt idx="77">
                  <c:v>138.5</c:v>
                </c:pt>
                <c:pt idx="78">
                  <c:v>139</c:v>
                </c:pt>
                <c:pt idx="79">
                  <c:v>139.5</c:v>
                </c:pt>
                <c:pt idx="80">
                  <c:v>140</c:v>
                </c:pt>
                <c:pt idx="81">
                  <c:v>140.5</c:v>
                </c:pt>
                <c:pt idx="82">
                  <c:v>141</c:v>
                </c:pt>
                <c:pt idx="83">
                  <c:v>141.5</c:v>
                </c:pt>
                <c:pt idx="84">
                  <c:v>142</c:v>
                </c:pt>
                <c:pt idx="85">
                  <c:v>142.5</c:v>
                </c:pt>
                <c:pt idx="86">
                  <c:v>143</c:v>
                </c:pt>
                <c:pt idx="87">
                  <c:v>143.5</c:v>
                </c:pt>
                <c:pt idx="88">
                  <c:v>144</c:v>
                </c:pt>
                <c:pt idx="89">
                  <c:v>144.5</c:v>
                </c:pt>
                <c:pt idx="90">
                  <c:v>145</c:v>
                </c:pt>
                <c:pt idx="91">
                  <c:v>145.5</c:v>
                </c:pt>
                <c:pt idx="92">
                  <c:v>146</c:v>
                </c:pt>
                <c:pt idx="93">
                  <c:v>146.5</c:v>
                </c:pt>
                <c:pt idx="94">
                  <c:v>147</c:v>
                </c:pt>
                <c:pt idx="95">
                  <c:v>147.5</c:v>
                </c:pt>
                <c:pt idx="96">
                  <c:v>148</c:v>
                </c:pt>
                <c:pt idx="97">
                  <c:v>148.5</c:v>
                </c:pt>
                <c:pt idx="98">
                  <c:v>149</c:v>
                </c:pt>
                <c:pt idx="99">
                  <c:v>149.5</c:v>
                </c:pt>
                <c:pt idx="100">
                  <c:v>150</c:v>
                </c:pt>
              </c:numCache>
            </c:numRef>
          </c:xVal>
          <c:yVal>
            <c:numRef>
              <c:f>Sheet1!$I$2:$I$102</c:f>
              <c:numCache>
                <c:formatCode>General</c:formatCode>
                <c:ptCount val="101"/>
                <c:pt idx="0">
                  <c:v>1.1410769360297562E-4</c:v>
                </c:pt>
                <c:pt idx="1">
                  <c:v>1.6180530928569008E-4</c:v>
                </c:pt>
                <c:pt idx="2">
                  <c:v>2.268107395663412E-4</c:v>
                </c:pt>
                <c:pt idx="3">
                  <c:v>3.1433871726347637E-4</c:v>
                </c:pt>
                <c:pt idx="4">
                  <c:v>4.3078911295891132E-4</c:v>
                </c:pt>
                <c:pt idx="5">
                  <c:v>5.838914175945901E-4</c:v>
                </c:pt>
                <c:pt idx="6">
                  <c:v>7.8282872713088432E-4</c:v>
                </c:pt>
                <c:pt idx="7">
                  <c:v>1.0383273731564206E-3</c:v>
                </c:pt>
                <c:pt idx="8">
                  <c:v>1.3626966761158871E-3</c:v>
                </c:pt>
                <c:pt idx="9">
                  <c:v>1.7698023939931497E-3</c:v>
                </c:pt>
                <c:pt idx="10">
                  <c:v>2.2749575775981414E-3</c:v>
                </c:pt>
                <c:pt idx="11">
                  <c:v>2.8947159705427694E-3</c:v>
                </c:pt>
                <c:pt idx="12">
                  <c:v>3.6465559884324731E-3</c:v>
                </c:pt>
                <c:pt idx="13">
                  <c:v>4.5484477599504582E-3</c:v>
                </c:pt>
                <c:pt idx="14">
                  <c:v>5.618301667192036E-3</c:v>
                </c:pt>
                <c:pt idx="15">
                  <c:v>6.8733040911774868E-3</c:v>
                </c:pt>
                <c:pt idx="16">
                  <c:v>8.3291543033112425E-3</c:v>
                </c:pt>
                <c:pt idx="17">
                  <c:v>9.9992251500270884E-3</c:v>
                </c:pt>
                <c:pt idx="18">
                  <c:v>1.1893678739276003E-2</c:v>
                </c:pt>
                <c:pt idx="19">
                  <c:v>1.4018576056627607E-2</c:v>
                </c:pt>
                <c:pt idx="20">
                  <c:v>1.6375025593299859E-2</c:v>
                </c:pt>
                <c:pt idx="21">
                  <c:v>1.8958419976184717E-2</c:v>
                </c:pt>
                <c:pt idx="22">
                  <c:v>2.1757810677188974E-2</c:v>
                </c:pt>
                <c:pt idx="23">
                  <c:v>2.4755468745442526E-2</c:v>
                </c:pt>
                <c:pt idx="24">
                  <c:v>2.7926673977404746E-2</c:v>
                </c:pt>
                <c:pt idx="25">
                  <c:v>3.1239766105411206E-2</c:v>
                </c:pt>
                <c:pt idx="26">
                  <c:v>3.4656479808959424E-2</c:v>
                </c:pt>
                <c:pt idx="27">
                  <c:v>3.8132571261770443E-2</c:v>
                </c:pt>
                <c:pt idx="28">
                  <c:v>4.1618728371939417E-2</c:v>
                </c:pt>
                <c:pt idx="29">
                  <c:v>4.5061740864854892E-2</c:v>
                </c:pt>
                <c:pt idx="30">
                  <c:v>4.8405890994016057E-2</c:v>
                </c:pt>
                <c:pt idx="31">
                  <c:v>5.1594512031066145E-2</c:v>
                </c:pt>
                <c:pt idx="32">
                  <c:v>5.4571650772177634E-2</c:v>
                </c:pt>
                <c:pt idx="33">
                  <c:v>5.7283762909557549E-2</c:v>
                </c:pt>
                <c:pt idx="34">
                  <c:v>5.9681366809380007E-2</c:v>
                </c:pt>
                <c:pt idx="35">
                  <c:v>6.1720582268745862E-2</c:v>
                </c:pt>
                <c:pt idx="36">
                  <c:v>6.3364486135166778E-2</c:v>
                </c:pt>
                <c:pt idx="37">
                  <c:v>6.4584225894529668E-2</c:v>
                </c:pt>
                <c:pt idx="38">
                  <c:v>6.535984482513317E-2</c:v>
                </c:pt>
                <c:pt idx="39">
                  <c:v>6.5680787216498657E-2</c:v>
                </c:pt>
                <c:pt idx="40">
                  <c:v>6.5546068458607998E-2</c:v>
                </c:pt>
                <c:pt idx="41">
                  <c:v>6.4964111454874171E-2</c:v>
                </c:pt>
                <c:pt idx="42">
                  <c:v>6.3952266757415152E-2</c:v>
                </c:pt>
                <c:pt idx="43">
                  <c:v>6.2536048122228099E-2</c:v>
                </c:pt>
                <c:pt idx="44">
                  <c:v>6.0748127054468304E-2</c:v>
                </c:pt>
                <c:pt idx="45">
                  <c:v>5.8627138790636982E-2</c:v>
                </c:pt>
                <c:pt idx="46">
                  <c:v>5.6216357712760207E-2</c:v>
                </c:pt>
                <c:pt idx="47">
                  <c:v>5.3562302320380228E-2</c:v>
                </c:pt>
                <c:pt idx="48">
                  <c:v>5.0713328739540944E-2</c:v>
                </c:pt>
                <c:pt idx="49">
                  <c:v>4.7718267663239819E-2</c:v>
                </c:pt>
                <c:pt idx="50">
                  <c:v>4.4625153090826347E-2</c:v>
                </c:pt>
                <c:pt idx="51">
                  <c:v>4.1480082866686988E-2</c:v>
                </c:pt>
                <c:pt idx="52">
                  <c:v>3.8326241466909675E-2</c:v>
                </c:pt>
                <c:pt idx="53">
                  <c:v>3.520310540483125E-2</c:v>
                </c:pt>
                <c:pt idx="54">
                  <c:v>3.2145841638524887E-2</c:v>
                </c:pt>
                <c:pt idx="55">
                  <c:v>2.9184900002876931E-2</c:v>
                </c:pt>
                <c:pt idx="56">
                  <c:v>2.6345792388937552E-2</c:v>
                </c:pt>
                <c:pt idx="57">
                  <c:v>2.3649044467325346E-2</c:v>
                </c:pt>
                <c:pt idx="58">
                  <c:v>2.1110300390578079E-2</c:v>
                </c:pt>
                <c:pt idx="59">
                  <c:v>1.8740557182883338E-2</c:v>
                </c:pt>
                <c:pt idx="60">
                  <c:v>1.6546503400154379E-2</c:v>
                </c:pt>
                <c:pt idx="61">
                  <c:v>1.4530935996792282E-2</c:v>
                </c:pt>
                <c:pt idx="62">
                  <c:v>1.2693229979183781E-2</c:v>
                </c:pt>
                <c:pt idx="63">
                  <c:v>1.1029837127581914E-2</c:v>
                </c:pt>
                <c:pt idx="64">
                  <c:v>9.5347925728304483E-3</c:v>
                </c:pt>
                <c:pt idx="65">
                  <c:v>8.2002110649616825E-3</c:v>
                </c:pt>
                <c:pt idx="66">
                  <c:v>7.0167581230690685E-3</c:v>
                </c:pt>
                <c:pt idx="67">
                  <c:v>5.9740846919763228E-3</c:v>
                </c:pt>
                <c:pt idx="68">
                  <c:v>5.0612172674158531E-3</c:v>
                </c:pt>
                <c:pt idx="69">
                  <c:v>4.2668985429896158E-3</c:v>
                </c:pt>
                <c:pt idx="70">
                  <c:v>3.5798763746003699E-3</c:v>
                </c:pt>
                <c:pt idx="71">
                  <c:v>2.989141185368424E-3</c:v>
                </c:pt>
                <c:pt idx="72">
                  <c:v>2.4841138151675173E-3</c:v>
                </c:pt>
                <c:pt idx="73">
                  <c:v>2.054787252332674E-3</c:v>
                </c:pt>
                <c:pt idx="74">
                  <c:v>1.6918266929753512E-3</c:v>
                </c:pt>
                <c:pt idx="75">
                  <c:v>1.3866329953138102E-3</c:v>
                </c:pt>
                <c:pt idx="76">
                  <c:v>1.1313748836361713E-3</c:v>
                </c:pt>
                <c:pt idx="77">
                  <c:v>9.1899526627567429E-4</c:v>
                </c:pt>
                <c:pt idx="78">
                  <c:v>7.4319682322935578E-4</c:v>
                </c:pt>
                <c:pt idx="79">
                  <c:v>5.9841164873587326E-4</c:v>
                </c:pt>
                <c:pt idx="80">
                  <c:v>4.7975925451499709E-4</c:v>
                </c:pt>
                <c:pt idx="81">
                  <c:v>3.8299669628663987E-4</c:v>
                </c:pt>
                <c:pt idx="82">
                  <c:v>3.044640180287263E-4</c:v>
                </c:pt>
                <c:pt idx="83">
                  <c:v>2.410276458644153E-4</c:v>
                </c:pt>
                <c:pt idx="84">
                  <c:v>1.9002382963210349E-4</c:v>
                </c:pt>
                <c:pt idx="85">
                  <c:v>1.4920374130406689E-4</c:v>
                </c:pt>
                <c:pt idx="86">
                  <c:v>1.1668140562117713E-4</c:v>
                </c:pt>
                <c:pt idx="87">
                  <c:v>9.0885264643229051E-5</c:v>
                </c:pt>
                <c:pt idx="88">
                  <c:v>7.0513865340046696E-5</c:v>
                </c:pt>
                <c:pt idx="89">
                  <c:v>5.4495905739039745E-5</c:v>
                </c:pt>
                <c:pt idx="90">
                  <c:v>4.19546761834448E-5</c:v>
                </c:pt>
                <c:pt idx="91">
                  <c:v>3.2176782224123411E-5</c:v>
                </c:pt>
                <c:pt idx="92">
                  <c:v>2.4584928103229192E-5</c:v>
                </c:pt>
                <c:pt idx="93">
                  <c:v>1.8714468002192312E-5</c:v>
                </c:pt>
                <c:pt idx="94">
                  <c:v>1.4193389698420141E-5</c:v>
                </c:pt>
                <c:pt idx="95">
                  <c:v>1.0725375926901831E-5</c:v>
                </c:pt>
                <c:pt idx="96">
                  <c:v>8.075587115739382E-6</c:v>
                </c:pt>
                <c:pt idx="97">
                  <c:v>6.0588205128361818E-6</c:v>
                </c:pt>
                <c:pt idx="98">
                  <c:v>4.5297210423090915E-6</c:v>
                </c:pt>
                <c:pt idx="99">
                  <c:v>3.3747452473899634E-6</c:v>
                </c:pt>
                <c:pt idx="100">
                  <c:v>2.5056087913075865E-6</c:v>
                </c:pt>
              </c:numCache>
            </c:numRef>
          </c:yVal>
          <c:smooth val="0"/>
          <c:extLst>
            <c:ext xmlns:c16="http://schemas.microsoft.com/office/drawing/2014/chart" uri="{C3380CC4-5D6E-409C-BE32-E72D297353CC}">
              <c16:uniqueId val="{00000000-31F3-4893-8BE1-2107365F97F7}"/>
            </c:ext>
          </c:extLst>
        </c:ser>
        <c:dLbls>
          <c:showLegendKey val="0"/>
          <c:showVal val="0"/>
          <c:showCatName val="0"/>
          <c:showSerName val="0"/>
          <c:showPercent val="0"/>
          <c:showBubbleSize val="0"/>
        </c:dLbls>
        <c:axId val="508892552"/>
        <c:axId val="508888616"/>
      </c:scatterChart>
      <c:valAx>
        <c:axId val="508892552"/>
        <c:scaling>
          <c:orientation val="minMax"/>
          <c:max val="150"/>
          <c:min val="100"/>
        </c:scaling>
        <c:delete val="0"/>
        <c:axPos val="b"/>
        <c:title>
          <c:tx>
            <c:rich>
              <a:bodyPr/>
              <a:lstStyle/>
              <a:p>
                <a:pPr>
                  <a:defRPr/>
                </a:pPr>
                <a:r>
                  <a:rPr lang="en-US"/>
                  <a:t>Spot Prices</a:t>
                </a:r>
              </a:p>
            </c:rich>
          </c:tx>
          <c:overlay val="0"/>
        </c:title>
        <c:numFmt formatCode="General" sourceLinked="1"/>
        <c:majorTickMark val="out"/>
        <c:minorTickMark val="none"/>
        <c:tickLblPos val="nextTo"/>
        <c:crossAx val="508888616"/>
        <c:crosses val="autoZero"/>
        <c:crossBetween val="midCat"/>
      </c:valAx>
      <c:valAx>
        <c:axId val="508888616"/>
        <c:scaling>
          <c:orientation val="minMax"/>
        </c:scaling>
        <c:delete val="0"/>
        <c:axPos val="l"/>
        <c:majorGridlines/>
        <c:title>
          <c:tx>
            <c:rich>
              <a:bodyPr/>
              <a:lstStyle/>
              <a:p>
                <a:pPr>
                  <a:defRPr/>
                </a:pPr>
                <a:r>
                  <a:rPr lang="en-US"/>
                  <a:t>Gamma</a:t>
                </a:r>
              </a:p>
            </c:rich>
          </c:tx>
          <c:overlay val="0"/>
        </c:title>
        <c:numFmt formatCode="General" sourceLinked="1"/>
        <c:majorTickMark val="out"/>
        <c:minorTickMark val="none"/>
        <c:tickLblPos val="nextTo"/>
        <c:crossAx val="508892552"/>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Theta - Gamma</a:t>
            </a:r>
          </a:p>
        </c:rich>
      </c:tx>
      <c:overlay val="0"/>
    </c:title>
    <c:autoTitleDeleted val="0"/>
    <c:plotArea>
      <c:layout/>
      <c:scatterChart>
        <c:scatterStyle val="lineMarker"/>
        <c:varyColors val="0"/>
        <c:ser>
          <c:idx val="0"/>
          <c:order val="0"/>
          <c:xVal>
            <c:numRef>
              <c:f>Sheet1!$H$2:$H$102</c:f>
              <c:numCache>
                <c:formatCode>General</c:formatCode>
                <c:ptCount val="101"/>
                <c:pt idx="0">
                  <c:v>-5.1849695225064177E-3</c:v>
                </c:pt>
                <c:pt idx="1">
                  <c:v>-7.40745551610833E-3</c:v>
                </c:pt>
                <c:pt idx="2">
                  <c:v>-1.0459556864717133E-2</c:v>
                </c:pt>
                <c:pt idx="3">
                  <c:v>-1.4599775634355733E-2</c:v>
                </c:pt>
                <c:pt idx="4">
                  <c:v>-2.0148071144071824E-2</c:v>
                </c:pt>
                <c:pt idx="5">
                  <c:v>-2.7494090523788518E-2</c:v>
                </c:pt>
                <c:pt idx="6">
                  <c:v>-3.7104490064526117E-2</c:v>
                </c:pt>
                <c:pt idx="7">
                  <c:v>-4.9528579653663404E-2</c:v>
                </c:pt>
                <c:pt idx="8">
                  <c:v>-6.5401402280662393E-2</c:v>
                </c:pt>
                <c:pt idx="9">
                  <c:v>-8.5443276483931851E-2</c:v>
                </c:pt>
                <c:pt idx="10">
                  <c:v>-0.11045479931655061</c:v>
                </c:pt>
                <c:pt idx="11">
                  <c:v>-0.14130634791061683</c:v>
                </c:pt>
                <c:pt idx="12">
                  <c:v>-0.17892124336448892</c:v>
                </c:pt>
                <c:pt idx="13">
                  <c:v>-0.22425196106392753</c:v>
                </c:pt>
                <c:pt idx="14">
                  <c:v>-0.27824908948257071</c:v>
                </c:pt>
                <c:pt idx="15">
                  <c:v>-0.34182314929338176</c:v>
                </c:pt>
                <c:pt idx="16">
                  <c:v>-0.4157998709655833</c:v>
                </c:pt>
                <c:pt idx="17">
                  <c:v>-0.50087006677682466</c:v>
                </c:pt>
                <c:pt idx="18">
                  <c:v>-0.59753578811587538</c:v>
                </c:pt>
                <c:pt idx="19">
                  <c:v>-0.70605498964941837</c:v>
                </c:pt>
                <c:pt idx="20">
                  <c:v>-0.82638738262609512</c:v>
                </c:pt>
                <c:pt idx="21">
                  <c:v>-0.95814450397949869</c:v>
                </c:pt>
                <c:pt idx="22">
                  <c:v>-1.1005472133893597</c:v>
                </c:pt>
                <c:pt idx="23">
                  <c:v>-1.2523938226396718</c:v>
                </c:pt>
                <c:pt idx="24">
                  <c:v>-1.4120418382808038</c:v>
                </c:pt>
                <c:pt idx="25">
                  <c:v>-1.5774058530654844</c:v>
                </c:pt>
                <c:pt idx="26">
                  <c:v>-1.7459734647252754</c:v>
                </c:pt>
                <c:pt idx="27">
                  <c:v>-1.9148402612475752</c:v>
                </c:pt>
                <c:pt idx="28">
                  <c:v>-2.0807639355823069</c:v>
                </c:pt>
                <c:pt idx="29">
                  <c:v>-2.2402365392642265</c:v>
                </c:pt>
                <c:pt idx="30">
                  <c:v>-2.3895728229776254</c:v>
                </c:pt>
                <c:pt idx="31">
                  <c:v>-2.5250116159607101</c:v>
                </c:pt>
                <c:pt idx="32">
                  <c:v>-2.6428263368226386</c:v>
                </c:pt>
                <c:pt idx="33">
                  <c:v>-2.7394400694148029</c:v>
                </c:pt>
                <c:pt idx="34">
                  <c:v>-2.8115402291267451</c:v>
                </c:pt>
                <c:pt idx="35">
                  <c:v>-2.8561877199999857</c:v>
                </c:pt>
                <c:pt idx="36">
                  <c:v>-2.8709156535932721</c:v>
                </c:pt>
                <c:pt idx="37">
                  <c:v>-2.8538131574136911</c:v>
                </c:pt>
                <c:pt idx="38">
                  <c:v>-2.8035905142465571</c:v>
                </c:pt>
                <c:pt idx="39">
                  <c:v>-2.7196227962563215</c:v>
                </c:pt>
                <c:pt idx="40">
                  <c:v>-2.6019702955729347</c:v>
                </c:pt>
                <c:pt idx="41">
                  <c:v>-2.4513775502271864</c:v>
                </c:pt>
                <c:pt idx="42">
                  <c:v>-2.2692438555228995</c:v>
                </c:pt>
                <c:pt idx="43">
                  <c:v>-2.0575762612062305</c:v>
                </c:pt>
                <c:pt idx="44">
                  <c:v>-1.818923346998085</c:v>
                </c:pt>
                <c:pt idx="45">
                  <c:v>-1.556292521027163</c:v>
                </c:pt>
                <c:pt idx="46">
                  <c:v>-1.2730557966703571</c:v>
                </c:pt>
                <c:pt idx="47">
                  <c:v>-0.97284823837158929</c:v>
                </c:pt>
                <c:pt idx="48">
                  <c:v>-0.65946339140744903</c:v>
                </c:pt>
                <c:pt idx="49">
                  <c:v>-0.33674986558996794</c:v>
                </c:pt>
                <c:pt idx="50">
                  <c:v>-8.5128957024357375E-3</c:v>
                </c:pt>
                <c:pt idx="51">
                  <c:v>0.32157581104505006</c:v>
                </c:pt>
                <c:pt idx="52">
                  <c:v>0.65005726424988652</c:v>
                </c:pt>
                <c:pt idx="53">
                  <c:v>0.97375144837910355</c:v>
                </c:pt>
                <c:pt idx="54">
                  <c:v>1.2898094179138866</c:v>
                </c:pt>
                <c:pt idx="55">
                  <c:v>1.5957507183111046</c:v>
                </c:pt>
                <c:pt idx="56">
                  <c:v>1.8894862889397646</c:v>
                </c:pt>
                <c:pt idx="57">
                  <c:v>2.1693275887502028</c:v>
                </c:pt>
                <c:pt idx="58">
                  <c:v>2.4339831660708224</c:v>
                </c:pt>
                <c:pt idx="59">
                  <c:v>2.6825442583187136</c:v>
                </c:pt>
                <c:pt idx="60">
                  <c:v>2.9144612517073929</c:v>
                </c:pt>
                <c:pt idx="61">
                  <c:v>3.1295129588691473</c:v>
                </c:pt>
                <c:pt idx="62">
                  <c:v>3.3277706934700193</c:v>
                </c:pt>
                <c:pt idx="63">
                  <c:v>3.5095590497837525</c:v>
                </c:pt>
                <c:pt idx="64">
                  <c:v>3.6754151492079727</c:v>
                </c:pt>
                <c:pt idx="65">
                  <c:v>3.8260479137029413</c:v>
                </c:pt>
                <c:pt idx="66">
                  <c:v>3.9622986870182371</c:v>
                </c:pt>
                <c:pt idx="67">
                  <c:v>4.0851042661596999</c:v>
                </c:pt>
                <c:pt idx="68">
                  <c:v>4.1954631436741101</c:v>
                </c:pt>
                <c:pt idx="69">
                  <c:v>4.2944055092591453</c:v>
                </c:pt>
                <c:pt idx="70">
                  <c:v>4.3829673273193297</c:v>
                </c:pt>
                <c:pt idx="71">
                  <c:v>4.4621686028011878</c:v>
                </c:pt>
                <c:pt idx="72">
                  <c:v>4.5329957755354373</c:v>
                </c:pt>
                <c:pt idx="73">
                  <c:v>4.5963880454223975</c:v>
                </c:pt>
                <c:pt idx="74">
                  <c:v>4.6532273269847</c:v>
                </c:pt>
                <c:pt idx="75">
                  <c:v>4.7043314602201516</c:v>
                </c:pt>
                <c:pt idx="76">
                  <c:v>4.7504502621907916</c:v>
                </c:pt>
                <c:pt idx="77">
                  <c:v>4.7922639864248113</c:v>
                </c:pt>
                <c:pt idx="78">
                  <c:v>4.8303837605935191</c:v>
                </c:pt>
                <c:pt idx="79">
                  <c:v>4.8653535925621059</c:v>
                </c:pt>
                <c:pt idx="80">
                  <c:v>4.8976535664731422</c:v>
                </c:pt>
                <c:pt idx="81">
                  <c:v>4.9277038900408643</c:v>
                </c:pt>
                <c:pt idx="82">
                  <c:v>4.9558694982423495</c:v>
                </c:pt>
                <c:pt idx="83">
                  <c:v>4.9824649641847687</c:v>
                </c:pt>
                <c:pt idx="84">
                  <c:v>5.0077595127907335</c:v>
                </c:pt>
                <c:pt idx="85">
                  <c:v>5.0319819753332755</c:v>
                </c:pt>
                <c:pt idx="86">
                  <c:v>5.0553255615514354</c:v>
                </c:pt>
                <c:pt idx="87">
                  <c:v>5.077952360333148</c:v>
                </c:pt>
                <c:pt idx="88">
                  <c:v>5.0999975093984453</c:v>
                </c:pt>
                <c:pt idx="89">
                  <c:v>5.1215729989988334</c:v>
                </c:pt>
                <c:pt idx="90">
                  <c:v>5.1427710945496763</c:v>
                </c:pt>
                <c:pt idx="91">
                  <c:v>5.1636673786806551</c:v>
                </c:pt>
                <c:pt idx="92">
                  <c:v>5.1843234248811143</c:v>
                </c:pt>
                <c:pt idx="93">
                  <c:v>5.2047891232452699</c:v>
                </c:pt>
                <c:pt idx="94">
                  <c:v>5.2251046843168192</c:v>
                </c:pt>
                <c:pt idx="95">
                  <c:v>5.2453023502097862</c:v>
                </c:pt>
                <c:pt idx="96">
                  <c:v>5.2654078435240317</c:v>
                </c:pt>
                <c:pt idx="97">
                  <c:v>5.285441584512653</c:v>
                </c:pt>
                <c:pt idx="98">
                  <c:v>5.3054197058713815</c:v>
                </c:pt>
                <c:pt idx="99">
                  <c:v>5.3253548927254073</c:v>
                </c:pt>
                <c:pt idx="100">
                  <c:v>5.3452570731478533</c:v>
                </c:pt>
              </c:numCache>
            </c:numRef>
          </c:xVal>
          <c:yVal>
            <c:numRef>
              <c:f>Sheet1!$I$2:$I$102</c:f>
              <c:numCache>
                <c:formatCode>General</c:formatCode>
                <c:ptCount val="101"/>
                <c:pt idx="0">
                  <c:v>1.1410769360297562E-4</c:v>
                </c:pt>
                <c:pt idx="1">
                  <c:v>1.6180530928569008E-4</c:v>
                </c:pt>
                <c:pt idx="2">
                  <c:v>2.268107395663412E-4</c:v>
                </c:pt>
                <c:pt idx="3">
                  <c:v>3.1433871726347637E-4</c:v>
                </c:pt>
                <c:pt idx="4">
                  <c:v>4.3078911295891132E-4</c:v>
                </c:pt>
                <c:pt idx="5">
                  <c:v>5.838914175945901E-4</c:v>
                </c:pt>
                <c:pt idx="6">
                  <c:v>7.8282872713088432E-4</c:v>
                </c:pt>
                <c:pt idx="7">
                  <c:v>1.0383273731564206E-3</c:v>
                </c:pt>
                <c:pt idx="8">
                  <c:v>1.3626966761158871E-3</c:v>
                </c:pt>
                <c:pt idx="9">
                  <c:v>1.7698023939931497E-3</c:v>
                </c:pt>
                <c:pt idx="10">
                  <c:v>2.2749575775981414E-3</c:v>
                </c:pt>
                <c:pt idx="11">
                  <c:v>2.8947159705427694E-3</c:v>
                </c:pt>
                <c:pt idx="12">
                  <c:v>3.6465559884324731E-3</c:v>
                </c:pt>
                <c:pt idx="13">
                  <c:v>4.5484477599504582E-3</c:v>
                </c:pt>
                <c:pt idx="14">
                  <c:v>5.618301667192036E-3</c:v>
                </c:pt>
                <c:pt idx="15">
                  <c:v>6.8733040911774868E-3</c:v>
                </c:pt>
                <c:pt idx="16">
                  <c:v>8.3291543033112425E-3</c:v>
                </c:pt>
                <c:pt idx="17">
                  <c:v>9.9992251500270884E-3</c:v>
                </c:pt>
                <c:pt idx="18">
                  <c:v>1.1893678739276003E-2</c:v>
                </c:pt>
                <c:pt idx="19">
                  <c:v>1.4018576056627607E-2</c:v>
                </c:pt>
                <c:pt idx="20">
                  <c:v>1.6375025593299859E-2</c:v>
                </c:pt>
                <c:pt idx="21">
                  <c:v>1.8958419976184717E-2</c:v>
                </c:pt>
                <c:pt idx="22">
                  <c:v>2.1757810677188974E-2</c:v>
                </c:pt>
                <c:pt idx="23">
                  <c:v>2.4755468745442526E-2</c:v>
                </c:pt>
                <c:pt idx="24">
                  <c:v>2.7926673977404746E-2</c:v>
                </c:pt>
                <c:pt idx="25">
                  <c:v>3.1239766105411206E-2</c:v>
                </c:pt>
                <c:pt idx="26">
                  <c:v>3.4656479808959424E-2</c:v>
                </c:pt>
                <c:pt idx="27">
                  <c:v>3.8132571261770443E-2</c:v>
                </c:pt>
                <c:pt idx="28">
                  <c:v>4.1618728371939417E-2</c:v>
                </c:pt>
                <c:pt idx="29">
                  <c:v>4.5061740864854892E-2</c:v>
                </c:pt>
                <c:pt idx="30">
                  <c:v>4.8405890994016057E-2</c:v>
                </c:pt>
                <c:pt idx="31">
                  <c:v>5.1594512031066145E-2</c:v>
                </c:pt>
                <c:pt idx="32">
                  <c:v>5.4571650772177634E-2</c:v>
                </c:pt>
                <c:pt idx="33">
                  <c:v>5.7283762909557549E-2</c:v>
                </c:pt>
                <c:pt idx="34">
                  <c:v>5.9681366809380007E-2</c:v>
                </c:pt>
                <c:pt idx="35">
                  <c:v>6.1720582268745862E-2</c:v>
                </c:pt>
                <c:pt idx="36">
                  <c:v>6.3364486135166778E-2</c:v>
                </c:pt>
                <c:pt idx="37">
                  <c:v>6.4584225894529668E-2</c:v>
                </c:pt>
                <c:pt idx="38">
                  <c:v>6.535984482513317E-2</c:v>
                </c:pt>
                <c:pt idx="39">
                  <c:v>6.5680787216498657E-2</c:v>
                </c:pt>
                <c:pt idx="40">
                  <c:v>6.5546068458607998E-2</c:v>
                </c:pt>
                <c:pt idx="41">
                  <c:v>6.4964111454874171E-2</c:v>
                </c:pt>
                <c:pt idx="42">
                  <c:v>6.3952266757415152E-2</c:v>
                </c:pt>
                <c:pt idx="43">
                  <c:v>6.2536048122228099E-2</c:v>
                </c:pt>
                <c:pt idx="44">
                  <c:v>6.0748127054468304E-2</c:v>
                </c:pt>
                <c:pt idx="45">
                  <c:v>5.8627138790636982E-2</c:v>
                </c:pt>
                <c:pt idx="46">
                  <c:v>5.6216357712760207E-2</c:v>
                </c:pt>
                <c:pt idx="47">
                  <c:v>5.3562302320380228E-2</c:v>
                </c:pt>
                <c:pt idx="48">
                  <c:v>5.0713328739540944E-2</c:v>
                </c:pt>
                <c:pt idx="49">
                  <c:v>4.7718267663239819E-2</c:v>
                </c:pt>
                <c:pt idx="50">
                  <c:v>4.4625153090826347E-2</c:v>
                </c:pt>
                <c:pt idx="51">
                  <c:v>4.1480082866686988E-2</c:v>
                </c:pt>
                <c:pt idx="52">
                  <c:v>3.8326241466909675E-2</c:v>
                </c:pt>
                <c:pt idx="53">
                  <c:v>3.520310540483125E-2</c:v>
                </c:pt>
                <c:pt idx="54">
                  <c:v>3.2145841638524887E-2</c:v>
                </c:pt>
                <c:pt idx="55">
                  <c:v>2.9184900002876931E-2</c:v>
                </c:pt>
                <c:pt idx="56">
                  <c:v>2.6345792388937552E-2</c:v>
                </c:pt>
                <c:pt idx="57">
                  <c:v>2.3649044467325346E-2</c:v>
                </c:pt>
                <c:pt idx="58">
                  <c:v>2.1110300390578079E-2</c:v>
                </c:pt>
                <c:pt idx="59">
                  <c:v>1.8740557182883338E-2</c:v>
                </c:pt>
                <c:pt idx="60">
                  <c:v>1.6546503400154379E-2</c:v>
                </c:pt>
                <c:pt idx="61">
                  <c:v>1.4530935996792282E-2</c:v>
                </c:pt>
                <c:pt idx="62">
                  <c:v>1.2693229979183781E-2</c:v>
                </c:pt>
                <c:pt idx="63">
                  <c:v>1.1029837127581914E-2</c:v>
                </c:pt>
                <c:pt idx="64">
                  <c:v>9.5347925728304483E-3</c:v>
                </c:pt>
                <c:pt idx="65">
                  <c:v>8.2002110649616825E-3</c:v>
                </c:pt>
                <c:pt idx="66">
                  <c:v>7.0167581230690685E-3</c:v>
                </c:pt>
                <c:pt idx="67">
                  <c:v>5.9740846919763228E-3</c:v>
                </c:pt>
                <c:pt idx="68">
                  <c:v>5.0612172674158531E-3</c:v>
                </c:pt>
                <c:pt idx="69">
                  <c:v>4.2668985429896158E-3</c:v>
                </c:pt>
                <c:pt idx="70">
                  <c:v>3.5798763746003699E-3</c:v>
                </c:pt>
                <c:pt idx="71">
                  <c:v>2.989141185368424E-3</c:v>
                </c:pt>
                <c:pt idx="72">
                  <c:v>2.4841138151675173E-3</c:v>
                </c:pt>
                <c:pt idx="73">
                  <c:v>2.054787252332674E-3</c:v>
                </c:pt>
                <c:pt idx="74">
                  <c:v>1.6918266929753512E-3</c:v>
                </c:pt>
                <c:pt idx="75">
                  <c:v>1.3866329953138102E-3</c:v>
                </c:pt>
                <c:pt idx="76">
                  <c:v>1.1313748836361713E-3</c:v>
                </c:pt>
                <c:pt idx="77">
                  <c:v>9.1899526627567429E-4</c:v>
                </c:pt>
                <c:pt idx="78">
                  <c:v>7.4319682322935578E-4</c:v>
                </c:pt>
                <c:pt idx="79">
                  <c:v>5.9841164873587326E-4</c:v>
                </c:pt>
                <c:pt idx="80">
                  <c:v>4.7975925451499709E-4</c:v>
                </c:pt>
                <c:pt idx="81">
                  <c:v>3.8299669628663987E-4</c:v>
                </c:pt>
                <c:pt idx="82">
                  <c:v>3.044640180287263E-4</c:v>
                </c:pt>
                <c:pt idx="83">
                  <c:v>2.410276458644153E-4</c:v>
                </c:pt>
                <c:pt idx="84">
                  <c:v>1.9002382963210349E-4</c:v>
                </c:pt>
                <c:pt idx="85">
                  <c:v>1.4920374130406689E-4</c:v>
                </c:pt>
                <c:pt idx="86">
                  <c:v>1.1668140562117713E-4</c:v>
                </c:pt>
                <c:pt idx="87">
                  <c:v>9.0885264643229051E-5</c:v>
                </c:pt>
                <c:pt idx="88">
                  <c:v>7.0513865340046696E-5</c:v>
                </c:pt>
                <c:pt idx="89">
                  <c:v>5.4495905739039745E-5</c:v>
                </c:pt>
                <c:pt idx="90">
                  <c:v>4.19546761834448E-5</c:v>
                </c:pt>
                <c:pt idx="91">
                  <c:v>3.2176782224123411E-5</c:v>
                </c:pt>
                <c:pt idx="92">
                  <c:v>2.4584928103229192E-5</c:v>
                </c:pt>
                <c:pt idx="93">
                  <c:v>1.8714468002192312E-5</c:v>
                </c:pt>
                <c:pt idx="94">
                  <c:v>1.4193389698420141E-5</c:v>
                </c:pt>
                <c:pt idx="95">
                  <c:v>1.0725375926901831E-5</c:v>
                </c:pt>
                <c:pt idx="96">
                  <c:v>8.075587115739382E-6</c:v>
                </c:pt>
                <c:pt idx="97">
                  <c:v>6.0588205128361818E-6</c:v>
                </c:pt>
                <c:pt idx="98">
                  <c:v>4.5297210423090915E-6</c:v>
                </c:pt>
                <c:pt idx="99">
                  <c:v>3.3747452473899634E-6</c:v>
                </c:pt>
                <c:pt idx="100">
                  <c:v>2.5056087913075865E-6</c:v>
                </c:pt>
              </c:numCache>
            </c:numRef>
          </c:yVal>
          <c:smooth val="0"/>
          <c:extLst>
            <c:ext xmlns:c16="http://schemas.microsoft.com/office/drawing/2014/chart" uri="{C3380CC4-5D6E-409C-BE32-E72D297353CC}">
              <c16:uniqueId val="{00000000-6707-4917-92CC-892D63F1BFBC}"/>
            </c:ext>
          </c:extLst>
        </c:ser>
        <c:dLbls>
          <c:showLegendKey val="0"/>
          <c:showVal val="0"/>
          <c:showCatName val="0"/>
          <c:showSerName val="0"/>
          <c:showPercent val="0"/>
          <c:showBubbleSize val="0"/>
        </c:dLbls>
        <c:axId val="508887304"/>
        <c:axId val="508891896"/>
      </c:scatterChart>
      <c:valAx>
        <c:axId val="508887304"/>
        <c:scaling>
          <c:orientation val="minMax"/>
        </c:scaling>
        <c:delete val="0"/>
        <c:axPos val="b"/>
        <c:title>
          <c:tx>
            <c:rich>
              <a:bodyPr/>
              <a:lstStyle/>
              <a:p>
                <a:pPr>
                  <a:defRPr/>
                </a:pPr>
                <a:r>
                  <a:rPr lang="en-US"/>
                  <a:t>Theta</a:t>
                </a:r>
              </a:p>
            </c:rich>
          </c:tx>
          <c:overlay val="0"/>
        </c:title>
        <c:numFmt formatCode="General" sourceLinked="1"/>
        <c:majorTickMark val="out"/>
        <c:minorTickMark val="none"/>
        <c:tickLblPos val="nextTo"/>
        <c:crossAx val="508891896"/>
        <c:crosses val="autoZero"/>
        <c:crossBetween val="midCat"/>
      </c:valAx>
      <c:valAx>
        <c:axId val="508891896"/>
        <c:scaling>
          <c:orientation val="minMax"/>
        </c:scaling>
        <c:delete val="0"/>
        <c:axPos val="l"/>
        <c:majorGridlines/>
        <c:title>
          <c:tx>
            <c:rich>
              <a:bodyPr/>
              <a:lstStyle/>
              <a:p>
                <a:pPr>
                  <a:defRPr/>
                </a:pPr>
                <a:r>
                  <a:rPr lang="en-US"/>
                  <a:t>Gamma</a:t>
                </a:r>
              </a:p>
            </c:rich>
          </c:tx>
          <c:overlay val="0"/>
        </c:title>
        <c:numFmt formatCode="General" sourceLinked="1"/>
        <c:majorTickMark val="out"/>
        <c:minorTickMark val="none"/>
        <c:tickLblPos val="nextTo"/>
        <c:crossAx val="50888730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Lines="10" dropStyle="combo" dx="31" fmlaLink="$D$3" fmlaRange="Sheet1!$L$2:$L$7" noThreeD="1" sel="4" val="0"/>
</file>

<file path=xl/ctrlProps/ctrlProp2.xml><?xml version="1.0" encoding="utf-8"?>
<formControlPr xmlns="http://schemas.microsoft.com/office/spreadsheetml/2009/9/main" objectType="Drop" dropLines="10" dropStyle="combo" dx="31" fmlaLink="$E$3" fmlaRange="Sheet1!$L$2:$L$7"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31" fmlaLink="$C$25" fmlaRange="U26:U27" noThreeD="1" sel="1"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215900</xdr:rowOff>
        </xdr:from>
        <xdr:to>
          <xdr:col>4</xdr:col>
          <xdr:colOff>0</xdr:colOff>
          <xdr:row>1</xdr:row>
          <xdr:rowOff>177800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603250</xdr:colOff>
          <xdr:row>1</xdr:row>
          <xdr:rowOff>0</xdr:rowOff>
        </xdr:from>
        <xdr:to>
          <xdr:col>4</xdr:col>
          <xdr:colOff>603250</xdr:colOff>
          <xdr:row>1</xdr:row>
          <xdr:rowOff>177800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838200</xdr:colOff>
          <xdr:row>18</xdr:row>
          <xdr:rowOff>0</xdr:rowOff>
        </xdr:from>
        <xdr:to>
          <xdr:col>2</xdr:col>
          <xdr:colOff>203200</xdr:colOff>
          <xdr:row>20</xdr:row>
          <xdr:rowOff>12700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Generate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825500</xdr:colOff>
          <xdr:row>22</xdr:row>
          <xdr:rowOff>6350</xdr:rowOff>
        </xdr:from>
        <xdr:to>
          <xdr:col>1</xdr:col>
          <xdr:colOff>857250</xdr:colOff>
          <xdr:row>24</xdr:row>
          <xdr:rowOff>101600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Calculate Greeks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342900</xdr:colOff>
          <xdr:row>16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Graphs and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23</xdr:row>
          <xdr:rowOff>0</xdr:rowOff>
        </xdr:from>
        <xdr:to>
          <xdr:col>3</xdr:col>
          <xdr:colOff>12700</xdr:colOff>
          <xdr:row>24</xdr:row>
          <xdr:rowOff>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450837</xdr:colOff>
      <xdr:row>21</xdr:row>
      <xdr:rowOff>182111</xdr:rowOff>
    </xdr:from>
    <xdr:to>
      <xdr:col>25</xdr:col>
      <xdr:colOff>344405</xdr:colOff>
      <xdr:row>36</xdr:row>
      <xdr:rowOff>150677</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0772278" y="4078213"/>
          <a:ext cx="5414839" cy="27130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solidFill>
                <a:srgbClr val="FF0000"/>
              </a:solidFill>
            </a:rPr>
            <a:t>Instructions:</a:t>
          </a:r>
        </a:p>
        <a:p>
          <a:pPr algn="r"/>
          <a:r>
            <a:rPr lang="en-US" sz="1200" i="1"/>
            <a:t>For Q1, parts 1 and 2, enter inputs in Cells B1 to B7, then press the</a:t>
          </a:r>
          <a:r>
            <a:rPr lang="en-US" sz="1200" i="1" baseline="0"/>
            <a:t> 'Calculate Greeks' button. Units can be chosen as the conventional units or the default equation units. Output will be in Cells L1:N7, where Column L is the Greek name, Column M is the value, and Column N is the units.</a:t>
          </a:r>
        </a:p>
        <a:p>
          <a:pPr algn="r"/>
          <a:endParaRPr lang="en-US" sz="1200" i="1" baseline="0"/>
        </a:p>
        <a:p>
          <a:pPr algn="r"/>
          <a:r>
            <a:rPr lang="en-US" sz="1200" i="1" baseline="0"/>
            <a:t>For Q1, part 3, enter the inputs in Cells B9 to B11, then press the 'Generate Graphs' button. The data and graphs generated can be cleared using the 'Clear Graphs and Data' button. In the Graphs, all units are using the default equation units.</a:t>
          </a:r>
        </a:p>
        <a:p>
          <a:pPr algn="r"/>
          <a:endParaRPr lang="en-US" sz="1200" i="1" baseline="0"/>
        </a:p>
        <a:p>
          <a:pPr algn="r"/>
          <a:r>
            <a:rPr lang="en-US" sz="1200" i="1" baseline="0"/>
            <a:t>Day-count convention used for calculations is the Actual/365 convention, as used in Black-Scholes.</a:t>
          </a:r>
        </a:p>
        <a:p>
          <a:pPr algn="r"/>
          <a:endParaRPr lang="en-US" sz="1200" i="1" baseline="0"/>
        </a:p>
        <a:p>
          <a:pPr algn="r"/>
          <a:r>
            <a:rPr lang="en-US" sz="1200" i="1" baseline="0"/>
            <a:t>*The CND and ND functions in VBA were from Professor Smirnov's class </a:t>
          </a:r>
          <a:endParaRPr lang="en-US" sz="1200" i="1"/>
        </a:p>
      </xdr:txBody>
    </xdr:sp>
    <xdr:clientData/>
  </xdr:twoCellAnchor>
  <xdr:twoCellAnchor>
    <xdr:from>
      <xdr:col>9</xdr:col>
      <xdr:colOff>469900</xdr:colOff>
      <xdr:row>7</xdr:row>
      <xdr:rowOff>63500</xdr:rowOff>
    </xdr:from>
    <xdr:to>
      <xdr:col>16</xdr:col>
      <xdr:colOff>12700</xdr:colOff>
      <xdr:row>21</xdr:row>
      <xdr:rowOff>25400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469900</xdr:colOff>
      <xdr:row>21</xdr:row>
      <xdr:rowOff>152400</xdr:rowOff>
    </xdr:from>
    <xdr:to>
      <xdr:col>16</xdr:col>
      <xdr:colOff>12700</xdr:colOff>
      <xdr:row>35</xdr:row>
      <xdr:rowOff>114300</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520700</xdr:colOff>
      <xdr:row>7</xdr:row>
      <xdr:rowOff>63500</xdr:rowOff>
    </xdr:from>
    <xdr:to>
      <xdr:col>23</xdr:col>
      <xdr:colOff>63500</xdr:colOff>
      <xdr:row>21</xdr:row>
      <xdr:rowOff>25400</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F845A-6C4E-481E-B627-F84063E33697}">
  <sheetPr codeName="Sheet1"/>
  <dimension ref="A1:U102"/>
  <sheetViews>
    <sheetView tabSelected="1" zoomScale="59" zoomScaleNormal="59" workbookViewId="0">
      <selection activeCell="A11" sqref="A11"/>
    </sheetView>
  </sheetViews>
  <sheetFormatPr defaultRowHeight="14.5" x14ac:dyDescent="0.35"/>
  <cols>
    <col min="1" max="1" width="12" customWidth="1"/>
    <col min="2" max="2" width="12.36328125" bestFit="1" customWidth="1"/>
    <col min="3" max="3" width="9.26953125" customWidth="1"/>
  </cols>
  <sheetData>
    <row r="1" spans="1:14" ht="17.5" thickBot="1" x14ac:dyDescent="0.45">
      <c r="A1" s="8" t="s">
        <v>0</v>
      </c>
      <c r="B1">
        <v>120</v>
      </c>
      <c r="C1" s="5"/>
      <c r="D1" s="8" t="s">
        <v>17</v>
      </c>
      <c r="E1" s="8" t="s">
        <v>18</v>
      </c>
      <c r="G1" s="10" t="s">
        <v>19</v>
      </c>
      <c r="H1" s="10" t="s">
        <v>30</v>
      </c>
      <c r="I1" s="10" t="s">
        <v>31</v>
      </c>
      <c r="L1" s="7" t="s">
        <v>10</v>
      </c>
      <c r="M1">
        <v>2.3528048885986186</v>
      </c>
      <c r="N1" t="s">
        <v>20</v>
      </c>
    </row>
    <row r="2" spans="1:14" ht="15" thickTop="1" x14ac:dyDescent="0.35">
      <c r="A2" s="8" t="s">
        <v>1</v>
      </c>
      <c r="B2" s="3">
        <v>5.0000000000000001E-3</v>
      </c>
      <c r="G2">
        <v>100</v>
      </c>
      <c r="H2">
        <v>-5.1849695225064177E-3</v>
      </c>
      <c r="I2">
        <v>1.1410769360297562E-4</v>
      </c>
      <c r="L2" s="7" t="s">
        <v>11</v>
      </c>
      <c r="M2">
        <v>0.50132919261996378</v>
      </c>
      <c r="N2" s="2" t="s">
        <v>21</v>
      </c>
    </row>
    <row r="3" spans="1:14" x14ac:dyDescent="0.35">
      <c r="A3" s="8" t="s">
        <v>2</v>
      </c>
      <c r="B3" s="1">
        <v>0.04</v>
      </c>
      <c r="C3" s="6"/>
      <c r="D3">
        <v>4</v>
      </c>
      <c r="E3">
        <v>2</v>
      </c>
      <c r="G3">
        <v>100.5</v>
      </c>
      <c r="H3">
        <v>-7.40745551610833E-3</v>
      </c>
      <c r="I3">
        <v>1.6180530928569008E-4</v>
      </c>
      <c r="L3" s="7" t="s">
        <v>12</v>
      </c>
      <c r="M3">
        <v>6.5546068458607998E-2</v>
      </c>
      <c r="N3" t="s">
        <v>22</v>
      </c>
    </row>
    <row r="4" spans="1:14" x14ac:dyDescent="0.35">
      <c r="A4" s="8" t="s">
        <v>3</v>
      </c>
      <c r="B4" s="1">
        <v>0.1</v>
      </c>
      <c r="G4">
        <v>101</v>
      </c>
      <c r="H4">
        <v>-1.0459556864717133E-2</v>
      </c>
      <c r="I4">
        <v>2.268107395663412E-4</v>
      </c>
      <c r="L4" s="7" t="s">
        <v>13</v>
      </c>
      <c r="M4">
        <v>23.790529176428464</v>
      </c>
      <c r="N4" t="s">
        <v>23</v>
      </c>
    </row>
    <row r="5" spans="1:14" x14ac:dyDescent="0.35">
      <c r="A5" s="8" t="s">
        <v>4</v>
      </c>
      <c r="B5">
        <v>119</v>
      </c>
      <c r="G5">
        <v>101.5</v>
      </c>
      <c r="H5">
        <v>-1.4599775634355733E-2</v>
      </c>
      <c r="I5">
        <v>3.1433871726347637E-4</v>
      </c>
      <c r="L5" s="7" t="s">
        <v>14</v>
      </c>
      <c r="M5">
        <v>-2.6019702955729347</v>
      </c>
      <c r="N5" t="s">
        <v>24</v>
      </c>
    </row>
    <row r="6" spans="1:14" x14ac:dyDescent="0.35">
      <c r="A6" s="9" t="s">
        <v>5</v>
      </c>
      <c r="B6" s="4">
        <v>43504</v>
      </c>
      <c r="G6">
        <v>102</v>
      </c>
      <c r="H6">
        <v>-2.0148071144071824E-2</v>
      </c>
      <c r="I6">
        <v>4.3078911295891132E-4</v>
      </c>
      <c r="L6" s="7" t="s">
        <v>15</v>
      </c>
      <c r="M6">
        <v>-15.163491195957263</v>
      </c>
      <c r="N6" t="s">
        <v>25</v>
      </c>
    </row>
    <row r="7" spans="1:14" x14ac:dyDescent="0.35">
      <c r="A7" s="8" t="s">
        <v>6</v>
      </c>
      <c r="B7" s="4">
        <f>B6 + 92</f>
        <v>43596</v>
      </c>
      <c r="G7">
        <v>102.5</v>
      </c>
      <c r="H7">
        <v>-2.7494090523788518E-2</v>
      </c>
      <c r="I7">
        <v>5.838914175945901E-4</v>
      </c>
      <c r="K7" s="2"/>
      <c r="L7" s="7" t="s">
        <v>16</v>
      </c>
      <c r="M7">
        <v>14.570455443214598</v>
      </c>
      <c r="N7" t="s">
        <v>26</v>
      </c>
    </row>
    <row r="8" spans="1:14" x14ac:dyDescent="0.35">
      <c r="G8">
        <v>103</v>
      </c>
      <c r="H8">
        <v>-3.7104490064526117E-2</v>
      </c>
      <c r="I8">
        <v>7.8282872713088432E-4</v>
      </c>
    </row>
    <row r="9" spans="1:14" x14ac:dyDescent="0.35">
      <c r="A9" s="8" t="s">
        <v>7</v>
      </c>
      <c r="B9">
        <v>100</v>
      </c>
      <c r="G9">
        <v>103.5</v>
      </c>
      <c r="H9">
        <v>-4.9528579653663404E-2</v>
      </c>
      <c r="I9">
        <v>1.0383273731564206E-3</v>
      </c>
      <c r="K9" s="2"/>
    </row>
    <row r="10" spans="1:14" x14ac:dyDescent="0.35">
      <c r="A10" s="8" t="s">
        <v>8</v>
      </c>
      <c r="B10">
        <v>150</v>
      </c>
      <c r="G10">
        <v>104</v>
      </c>
      <c r="H10">
        <v>-6.5401402280662393E-2</v>
      </c>
      <c r="I10">
        <v>1.3626966761158871E-3</v>
      </c>
      <c r="K10" s="2"/>
    </row>
    <row r="11" spans="1:14" x14ac:dyDescent="0.35">
      <c r="A11" s="8" t="s">
        <v>9</v>
      </c>
      <c r="B11">
        <v>99</v>
      </c>
      <c r="G11">
        <v>104.5</v>
      </c>
      <c r="H11">
        <v>-8.5443276483931851E-2</v>
      </c>
      <c r="I11">
        <v>1.7698023939931497E-3</v>
      </c>
      <c r="K11" s="2"/>
    </row>
    <row r="12" spans="1:14" x14ac:dyDescent="0.35">
      <c r="G12">
        <v>105</v>
      </c>
      <c r="H12">
        <v>-0.11045479931655061</v>
      </c>
      <c r="I12">
        <v>2.2749575775981414E-3</v>
      </c>
      <c r="K12" s="2"/>
    </row>
    <row r="13" spans="1:14" x14ac:dyDescent="0.35">
      <c r="G13">
        <v>105.5</v>
      </c>
      <c r="H13">
        <v>-0.14130634791061683</v>
      </c>
      <c r="I13">
        <v>2.8947159705427694E-3</v>
      </c>
      <c r="K13" s="2"/>
    </row>
    <row r="14" spans="1:14" x14ac:dyDescent="0.35">
      <c r="G14">
        <v>106</v>
      </c>
      <c r="H14">
        <v>-0.17892124336448892</v>
      </c>
      <c r="I14">
        <v>3.6465559884324731E-3</v>
      </c>
    </row>
    <row r="15" spans="1:14" x14ac:dyDescent="0.35">
      <c r="C15" s="1"/>
      <c r="G15">
        <v>106.5</v>
      </c>
      <c r="H15">
        <v>-0.22425196106392753</v>
      </c>
      <c r="I15">
        <v>4.5484477599504582E-3</v>
      </c>
    </row>
    <row r="16" spans="1:14" x14ac:dyDescent="0.35">
      <c r="C16" s="1"/>
      <c r="G16">
        <v>107</v>
      </c>
      <c r="H16">
        <v>-0.27824908948257071</v>
      </c>
      <c r="I16">
        <v>5.618301667192036E-3</v>
      </c>
    </row>
    <row r="17" spans="3:21" x14ac:dyDescent="0.35">
      <c r="C17" s="3"/>
      <c r="G17">
        <v>107.5</v>
      </c>
      <c r="H17">
        <v>-0.34182314929338176</v>
      </c>
      <c r="I17">
        <v>6.8733040911774868E-3</v>
      </c>
    </row>
    <row r="18" spans="3:21" x14ac:dyDescent="0.35">
      <c r="G18">
        <v>108</v>
      </c>
      <c r="H18">
        <v>-0.4157998709655833</v>
      </c>
      <c r="I18">
        <v>8.3291543033112425E-3</v>
      </c>
    </row>
    <row r="19" spans="3:21" x14ac:dyDescent="0.35">
      <c r="C19" s="4"/>
      <c r="G19">
        <v>108.5</v>
      </c>
      <c r="H19">
        <v>-0.50087006677682466</v>
      </c>
      <c r="I19">
        <v>9.9992251500270884E-3</v>
      </c>
    </row>
    <row r="20" spans="3:21" x14ac:dyDescent="0.35">
      <c r="C20" s="4"/>
      <c r="G20">
        <v>109</v>
      </c>
      <c r="H20">
        <v>-0.59753578811587538</v>
      </c>
      <c r="I20">
        <v>1.1893678739276003E-2</v>
      </c>
    </row>
    <row r="21" spans="3:21" x14ac:dyDescent="0.35">
      <c r="G21">
        <v>109.5</v>
      </c>
      <c r="H21">
        <v>-0.70605498964941837</v>
      </c>
      <c r="I21">
        <v>1.4018576056627607E-2</v>
      </c>
    </row>
    <row r="22" spans="3:21" x14ac:dyDescent="0.35">
      <c r="G22">
        <v>110</v>
      </c>
      <c r="H22">
        <v>-0.82638738262609512</v>
      </c>
      <c r="I22">
        <v>1.6375025593299859E-2</v>
      </c>
    </row>
    <row r="23" spans="3:21" x14ac:dyDescent="0.35">
      <c r="C23" s="8" t="s">
        <v>27</v>
      </c>
      <c r="G23">
        <v>110.5</v>
      </c>
      <c r="H23">
        <v>-0.95814450397949869</v>
      </c>
      <c r="I23">
        <v>1.8958419976184717E-2</v>
      </c>
    </row>
    <row r="24" spans="3:21" x14ac:dyDescent="0.35">
      <c r="G24">
        <v>111</v>
      </c>
      <c r="H24">
        <v>-1.1005472133893597</v>
      </c>
      <c r="I24">
        <v>2.1757810677188974E-2</v>
      </c>
    </row>
    <row r="25" spans="3:21" x14ac:dyDescent="0.35">
      <c r="C25">
        <v>1</v>
      </c>
      <c r="G25">
        <v>111.5</v>
      </c>
      <c r="H25">
        <v>-1.2523938226396718</v>
      </c>
      <c r="I25">
        <v>2.4755468745442526E-2</v>
      </c>
    </row>
    <row r="26" spans="3:21" x14ac:dyDescent="0.35">
      <c r="G26">
        <v>112</v>
      </c>
      <c r="H26">
        <v>-1.4120418382808038</v>
      </c>
      <c r="I26">
        <v>2.7926673977404746E-2</v>
      </c>
      <c r="U26" t="s">
        <v>28</v>
      </c>
    </row>
    <row r="27" spans="3:21" x14ac:dyDescent="0.35">
      <c r="G27">
        <v>112.5</v>
      </c>
      <c r="H27">
        <v>-1.5774058530654844</v>
      </c>
      <c r="I27">
        <v>3.1239766105411206E-2</v>
      </c>
      <c r="U27" t="s">
        <v>29</v>
      </c>
    </row>
    <row r="28" spans="3:21" x14ac:dyDescent="0.35">
      <c r="G28">
        <v>113</v>
      </c>
      <c r="H28">
        <v>-1.7459734647252754</v>
      </c>
      <c r="I28">
        <v>3.4656479808959424E-2</v>
      </c>
    </row>
    <row r="29" spans="3:21" x14ac:dyDescent="0.35">
      <c r="G29">
        <v>113.5</v>
      </c>
      <c r="H29">
        <v>-1.9148402612475752</v>
      </c>
      <c r="I29">
        <v>3.8132571261770443E-2</v>
      </c>
    </row>
    <row r="30" spans="3:21" x14ac:dyDescent="0.35">
      <c r="G30">
        <v>114</v>
      </c>
      <c r="H30">
        <v>-2.0807639355823069</v>
      </c>
      <c r="I30">
        <v>4.1618728371939417E-2</v>
      </c>
    </row>
    <row r="31" spans="3:21" x14ac:dyDescent="0.35">
      <c r="G31">
        <v>114.5</v>
      </c>
      <c r="H31">
        <v>-2.2402365392642265</v>
      </c>
      <c r="I31">
        <v>4.5061740864854892E-2</v>
      </c>
    </row>
    <row r="32" spans="3:21" x14ac:dyDescent="0.35">
      <c r="G32">
        <v>115</v>
      </c>
      <c r="H32">
        <v>-2.3895728229776254</v>
      </c>
      <c r="I32">
        <v>4.8405890994016057E-2</v>
      </c>
    </row>
    <row r="33" spans="7:9" x14ac:dyDescent="0.35">
      <c r="G33">
        <v>115.5</v>
      </c>
      <c r="H33">
        <v>-2.5250116159607101</v>
      </c>
      <c r="I33">
        <v>5.1594512031066145E-2</v>
      </c>
    </row>
    <row r="34" spans="7:9" x14ac:dyDescent="0.35">
      <c r="G34">
        <v>116</v>
      </c>
      <c r="H34">
        <v>-2.6428263368226386</v>
      </c>
      <c r="I34">
        <v>5.4571650772177634E-2</v>
      </c>
    </row>
    <row r="35" spans="7:9" x14ac:dyDescent="0.35">
      <c r="G35">
        <v>116.5</v>
      </c>
      <c r="H35">
        <v>-2.7394400694148029</v>
      </c>
      <c r="I35">
        <v>5.7283762909557549E-2</v>
      </c>
    </row>
    <row r="36" spans="7:9" x14ac:dyDescent="0.35">
      <c r="G36">
        <v>117</v>
      </c>
      <c r="H36">
        <v>-2.8115402291267451</v>
      </c>
      <c r="I36">
        <v>5.9681366809380007E-2</v>
      </c>
    </row>
    <row r="37" spans="7:9" x14ac:dyDescent="0.35">
      <c r="G37">
        <v>117.5</v>
      </c>
      <c r="H37">
        <v>-2.8561877199999857</v>
      </c>
      <c r="I37">
        <v>6.1720582268745862E-2</v>
      </c>
    </row>
    <row r="38" spans="7:9" x14ac:dyDescent="0.35">
      <c r="G38">
        <v>118</v>
      </c>
      <c r="H38">
        <v>-2.8709156535932721</v>
      </c>
      <c r="I38">
        <v>6.3364486135166778E-2</v>
      </c>
    </row>
    <row r="39" spans="7:9" x14ac:dyDescent="0.35">
      <c r="G39">
        <v>118.5</v>
      </c>
      <c r="H39">
        <v>-2.8538131574136911</v>
      </c>
      <c r="I39">
        <v>6.4584225894529668E-2</v>
      </c>
    </row>
    <row r="40" spans="7:9" x14ac:dyDescent="0.35">
      <c r="G40">
        <v>119</v>
      </c>
      <c r="H40">
        <v>-2.8035905142465571</v>
      </c>
      <c r="I40">
        <v>6.535984482513317E-2</v>
      </c>
    </row>
    <row r="41" spans="7:9" x14ac:dyDescent="0.35">
      <c r="G41">
        <v>119.5</v>
      </c>
      <c r="H41">
        <v>-2.7196227962563215</v>
      </c>
      <c r="I41">
        <v>6.5680787216498657E-2</v>
      </c>
    </row>
    <row r="42" spans="7:9" x14ac:dyDescent="0.35">
      <c r="G42">
        <v>120</v>
      </c>
      <c r="H42">
        <v>-2.6019702955729347</v>
      </c>
      <c r="I42">
        <v>6.5546068458607998E-2</v>
      </c>
    </row>
    <row r="43" spans="7:9" x14ac:dyDescent="0.35">
      <c r="G43">
        <v>120.5</v>
      </c>
      <c r="H43">
        <v>-2.4513775502271864</v>
      </c>
      <c r="I43">
        <v>6.4964111454874171E-2</v>
      </c>
    </row>
    <row r="44" spans="7:9" x14ac:dyDescent="0.35">
      <c r="G44">
        <v>121</v>
      </c>
      <c r="H44">
        <v>-2.2692438555228995</v>
      </c>
      <c r="I44">
        <v>6.3952266757415152E-2</v>
      </c>
    </row>
    <row r="45" spans="7:9" x14ac:dyDescent="0.35">
      <c r="G45">
        <v>121.5</v>
      </c>
      <c r="H45">
        <v>-2.0575762612062305</v>
      </c>
      <c r="I45">
        <v>6.2536048122228099E-2</v>
      </c>
    </row>
    <row r="46" spans="7:9" x14ac:dyDescent="0.35">
      <c r="G46">
        <v>122</v>
      </c>
      <c r="H46">
        <v>-1.818923346998085</v>
      </c>
      <c r="I46">
        <v>6.0748127054468304E-2</v>
      </c>
    </row>
    <row r="47" spans="7:9" x14ac:dyDescent="0.35">
      <c r="G47">
        <v>122.5</v>
      </c>
      <c r="H47">
        <v>-1.556292521027163</v>
      </c>
      <c r="I47">
        <v>5.8627138790636982E-2</v>
      </c>
    </row>
    <row r="48" spans="7:9" x14ac:dyDescent="0.35">
      <c r="G48">
        <v>123</v>
      </c>
      <c r="H48">
        <v>-1.2730557966703571</v>
      </c>
      <c r="I48">
        <v>5.6216357712760207E-2</v>
      </c>
    </row>
    <row r="49" spans="7:9" x14ac:dyDescent="0.35">
      <c r="G49">
        <v>123.5</v>
      </c>
      <c r="H49">
        <v>-0.97284823837158929</v>
      </c>
      <c r="I49">
        <v>5.3562302320380228E-2</v>
      </c>
    </row>
    <row r="50" spans="7:9" x14ac:dyDescent="0.35">
      <c r="G50">
        <v>124</v>
      </c>
      <c r="H50">
        <v>-0.65946339140744903</v>
      </c>
      <c r="I50">
        <v>5.0713328739540944E-2</v>
      </c>
    </row>
    <row r="51" spans="7:9" x14ac:dyDescent="0.35">
      <c r="G51">
        <v>124.5</v>
      </c>
      <c r="H51">
        <v>-0.33674986558996794</v>
      </c>
      <c r="I51">
        <v>4.7718267663239819E-2</v>
      </c>
    </row>
    <row r="52" spans="7:9" x14ac:dyDescent="0.35">
      <c r="G52">
        <v>125</v>
      </c>
      <c r="H52">
        <v>-8.5128957024357375E-3</v>
      </c>
      <c r="I52">
        <v>4.4625153090826347E-2</v>
      </c>
    </row>
    <row r="53" spans="7:9" x14ac:dyDescent="0.35">
      <c r="G53">
        <v>125.5</v>
      </c>
      <c r="H53">
        <v>0.32157581104505006</v>
      </c>
      <c r="I53">
        <v>4.1480082866686988E-2</v>
      </c>
    </row>
    <row r="54" spans="7:9" x14ac:dyDescent="0.35">
      <c r="G54">
        <v>126</v>
      </c>
      <c r="H54">
        <v>0.65005726424988652</v>
      </c>
      <c r="I54">
        <v>3.8326241466909675E-2</v>
      </c>
    </row>
    <row r="55" spans="7:9" x14ac:dyDescent="0.35">
      <c r="G55">
        <v>126.5</v>
      </c>
      <c r="H55">
        <v>0.97375144837910355</v>
      </c>
      <c r="I55">
        <v>3.520310540483125E-2</v>
      </c>
    </row>
    <row r="56" spans="7:9" x14ac:dyDescent="0.35">
      <c r="G56">
        <v>127</v>
      </c>
      <c r="H56">
        <v>1.2898094179138866</v>
      </c>
      <c r="I56">
        <v>3.2145841638524887E-2</v>
      </c>
    </row>
    <row r="57" spans="7:9" x14ac:dyDescent="0.35">
      <c r="G57">
        <v>127.5</v>
      </c>
      <c r="H57">
        <v>1.5957507183111046</v>
      </c>
      <c r="I57">
        <v>2.9184900002876931E-2</v>
      </c>
    </row>
    <row r="58" spans="7:9" x14ac:dyDescent="0.35">
      <c r="G58">
        <v>128</v>
      </c>
      <c r="H58">
        <v>1.8894862889397646</v>
      </c>
      <c r="I58">
        <v>2.6345792388937552E-2</v>
      </c>
    </row>
    <row r="59" spans="7:9" x14ac:dyDescent="0.35">
      <c r="G59">
        <v>128.5</v>
      </c>
      <c r="H59">
        <v>2.1693275887502028</v>
      </c>
      <c r="I59">
        <v>2.3649044467325346E-2</v>
      </c>
    </row>
    <row r="60" spans="7:9" x14ac:dyDescent="0.35">
      <c r="G60">
        <v>129</v>
      </c>
      <c r="H60">
        <v>2.4339831660708224</v>
      </c>
      <c r="I60">
        <v>2.1110300390578079E-2</v>
      </c>
    </row>
    <row r="61" spans="7:9" x14ac:dyDescent="0.35">
      <c r="G61">
        <v>129.5</v>
      </c>
      <c r="H61">
        <v>2.6825442583187136</v>
      </c>
      <c r="I61">
        <v>1.8740557182883338E-2</v>
      </c>
    </row>
    <row r="62" spans="7:9" x14ac:dyDescent="0.35">
      <c r="G62">
        <v>130</v>
      </c>
      <c r="H62">
        <v>2.9144612517073929</v>
      </c>
      <c r="I62">
        <v>1.6546503400154379E-2</v>
      </c>
    </row>
    <row r="63" spans="7:9" x14ac:dyDescent="0.35">
      <c r="G63">
        <v>130.5</v>
      </c>
      <c r="H63">
        <v>3.1295129588691473</v>
      </c>
      <c r="I63">
        <v>1.4530935996792282E-2</v>
      </c>
    </row>
    <row r="64" spans="7:9" x14ac:dyDescent="0.35">
      <c r="G64">
        <v>131</v>
      </c>
      <c r="H64">
        <v>3.3277706934700193</v>
      </c>
      <c r="I64">
        <v>1.2693229979183781E-2</v>
      </c>
    </row>
    <row r="65" spans="7:9" x14ac:dyDescent="0.35">
      <c r="G65">
        <v>131.5</v>
      </c>
      <c r="H65">
        <v>3.5095590497837525</v>
      </c>
      <c r="I65">
        <v>1.1029837127581914E-2</v>
      </c>
    </row>
    <row r="66" spans="7:9" x14ac:dyDescent="0.35">
      <c r="G66">
        <v>132</v>
      </c>
      <c r="H66">
        <v>3.6754151492079727</v>
      </c>
      <c r="I66">
        <v>9.5347925728304483E-3</v>
      </c>
    </row>
    <row r="67" spans="7:9" x14ac:dyDescent="0.35">
      <c r="G67">
        <v>132.5</v>
      </c>
      <c r="H67">
        <v>3.8260479137029413</v>
      </c>
      <c r="I67">
        <v>8.2002110649616825E-3</v>
      </c>
    </row>
    <row r="68" spans="7:9" x14ac:dyDescent="0.35">
      <c r="G68">
        <v>133</v>
      </c>
      <c r="H68">
        <v>3.9622986870182371</v>
      </c>
      <c r="I68">
        <v>7.0167581230690685E-3</v>
      </c>
    </row>
    <row r="69" spans="7:9" x14ac:dyDescent="0.35">
      <c r="G69">
        <v>133.5</v>
      </c>
      <c r="H69">
        <v>4.0851042661596999</v>
      </c>
      <c r="I69">
        <v>5.9740846919763228E-3</v>
      </c>
    </row>
    <row r="70" spans="7:9" x14ac:dyDescent="0.35">
      <c r="G70">
        <v>134</v>
      </c>
      <c r="H70">
        <v>4.1954631436741101</v>
      </c>
      <c r="I70">
        <v>5.0612172674158531E-3</v>
      </c>
    </row>
    <row r="71" spans="7:9" x14ac:dyDescent="0.35">
      <c r="G71">
        <v>134.5</v>
      </c>
      <c r="H71">
        <v>4.2944055092591453</v>
      </c>
      <c r="I71">
        <v>4.2668985429896158E-3</v>
      </c>
    </row>
    <row r="72" spans="7:9" x14ac:dyDescent="0.35">
      <c r="G72">
        <v>135</v>
      </c>
      <c r="H72">
        <v>4.3829673273193297</v>
      </c>
      <c r="I72">
        <v>3.5798763746003699E-3</v>
      </c>
    </row>
    <row r="73" spans="7:9" x14ac:dyDescent="0.35">
      <c r="G73">
        <v>135.5</v>
      </c>
      <c r="H73">
        <v>4.4621686028011878</v>
      </c>
      <c r="I73">
        <v>2.989141185368424E-3</v>
      </c>
    </row>
    <row r="74" spans="7:9" x14ac:dyDescent="0.35">
      <c r="G74">
        <v>136</v>
      </c>
      <c r="H74">
        <v>4.5329957755354373</v>
      </c>
      <c r="I74">
        <v>2.4841138151675173E-3</v>
      </c>
    </row>
    <row r="75" spans="7:9" x14ac:dyDescent="0.35">
      <c r="G75">
        <v>136.5</v>
      </c>
      <c r="H75">
        <v>4.5963880454223975</v>
      </c>
      <c r="I75">
        <v>2.054787252332674E-3</v>
      </c>
    </row>
    <row r="76" spans="7:9" x14ac:dyDescent="0.35">
      <c r="G76">
        <v>137</v>
      </c>
      <c r="H76">
        <v>4.6532273269847</v>
      </c>
      <c r="I76">
        <v>1.6918266929753512E-3</v>
      </c>
    </row>
    <row r="77" spans="7:9" x14ac:dyDescent="0.35">
      <c r="G77">
        <v>137.5</v>
      </c>
      <c r="H77">
        <v>4.7043314602201516</v>
      </c>
      <c r="I77">
        <v>1.3866329953138102E-3</v>
      </c>
    </row>
    <row r="78" spans="7:9" x14ac:dyDescent="0.35">
      <c r="G78">
        <v>138</v>
      </c>
      <c r="H78">
        <v>4.7504502621907916</v>
      </c>
      <c r="I78">
        <v>1.1313748836361713E-3</v>
      </c>
    </row>
    <row r="79" spans="7:9" x14ac:dyDescent="0.35">
      <c r="G79">
        <v>138.5</v>
      </c>
      <c r="H79">
        <v>4.7922639864248113</v>
      </c>
      <c r="I79">
        <v>9.1899526627567429E-4</v>
      </c>
    </row>
    <row r="80" spans="7:9" x14ac:dyDescent="0.35">
      <c r="G80">
        <v>139</v>
      </c>
      <c r="H80">
        <v>4.8303837605935191</v>
      </c>
      <c r="I80">
        <v>7.4319682322935578E-4</v>
      </c>
    </row>
    <row r="81" spans="7:9" x14ac:dyDescent="0.35">
      <c r="G81">
        <v>139.5</v>
      </c>
      <c r="H81">
        <v>4.8653535925621059</v>
      </c>
      <c r="I81">
        <v>5.9841164873587326E-4</v>
      </c>
    </row>
    <row r="82" spans="7:9" x14ac:dyDescent="0.35">
      <c r="G82">
        <v>140</v>
      </c>
      <c r="H82">
        <v>4.8976535664731422</v>
      </c>
      <c r="I82">
        <v>4.7975925451499709E-4</v>
      </c>
    </row>
    <row r="83" spans="7:9" x14ac:dyDescent="0.35">
      <c r="G83">
        <v>140.5</v>
      </c>
      <c r="H83">
        <v>4.9277038900408643</v>
      </c>
      <c r="I83">
        <v>3.8299669628663987E-4</v>
      </c>
    </row>
    <row r="84" spans="7:9" x14ac:dyDescent="0.35">
      <c r="G84">
        <v>141</v>
      </c>
      <c r="H84">
        <v>4.9558694982423495</v>
      </c>
      <c r="I84">
        <v>3.044640180287263E-4</v>
      </c>
    </row>
    <row r="85" spans="7:9" x14ac:dyDescent="0.35">
      <c r="G85">
        <v>141.5</v>
      </c>
      <c r="H85">
        <v>4.9824649641847687</v>
      </c>
      <c r="I85">
        <v>2.410276458644153E-4</v>
      </c>
    </row>
    <row r="86" spans="7:9" x14ac:dyDescent="0.35">
      <c r="G86">
        <v>142</v>
      </c>
      <c r="H86">
        <v>5.0077595127907335</v>
      </c>
      <c r="I86">
        <v>1.9002382963210349E-4</v>
      </c>
    </row>
    <row r="87" spans="7:9" x14ac:dyDescent="0.35">
      <c r="G87">
        <v>142.5</v>
      </c>
      <c r="H87">
        <v>5.0319819753332755</v>
      </c>
      <c r="I87">
        <v>1.4920374130406689E-4</v>
      </c>
    </row>
    <row r="88" spans="7:9" x14ac:dyDescent="0.35">
      <c r="G88">
        <v>143</v>
      </c>
      <c r="H88">
        <v>5.0553255615514354</v>
      </c>
      <c r="I88">
        <v>1.1668140562117713E-4</v>
      </c>
    </row>
    <row r="89" spans="7:9" x14ac:dyDescent="0.35">
      <c r="G89">
        <v>143.5</v>
      </c>
      <c r="H89">
        <v>5.077952360333148</v>
      </c>
      <c r="I89">
        <v>9.0885264643229051E-5</v>
      </c>
    </row>
    <row r="90" spans="7:9" x14ac:dyDescent="0.35">
      <c r="G90">
        <v>144</v>
      </c>
      <c r="H90">
        <v>5.0999975093984453</v>
      </c>
      <c r="I90">
        <v>7.0513865340046696E-5</v>
      </c>
    </row>
    <row r="91" spans="7:9" x14ac:dyDescent="0.35">
      <c r="G91">
        <v>144.5</v>
      </c>
      <c r="H91">
        <v>5.1215729989988334</v>
      </c>
      <c r="I91">
        <v>5.4495905739039745E-5</v>
      </c>
    </row>
    <row r="92" spans="7:9" x14ac:dyDescent="0.35">
      <c r="G92">
        <v>145</v>
      </c>
      <c r="H92">
        <v>5.1427710945496763</v>
      </c>
      <c r="I92">
        <v>4.19546761834448E-5</v>
      </c>
    </row>
    <row r="93" spans="7:9" x14ac:dyDescent="0.35">
      <c r="G93">
        <v>145.5</v>
      </c>
      <c r="H93">
        <v>5.1636673786806551</v>
      </c>
      <c r="I93">
        <v>3.2176782224123411E-5</v>
      </c>
    </row>
    <row r="94" spans="7:9" x14ac:dyDescent="0.35">
      <c r="G94">
        <v>146</v>
      </c>
      <c r="H94">
        <v>5.1843234248811143</v>
      </c>
      <c r="I94">
        <v>2.4584928103229192E-5</v>
      </c>
    </row>
    <row r="95" spans="7:9" x14ac:dyDescent="0.35">
      <c r="G95">
        <v>146.5</v>
      </c>
      <c r="H95">
        <v>5.2047891232452699</v>
      </c>
      <c r="I95">
        <v>1.8714468002192312E-5</v>
      </c>
    </row>
    <row r="96" spans="7:9" x14ac:dyDescent="0.35">
      <c r="G96">
        <v>147</v>
      </c>
      <c r="H96">
        <v>5.2251046843168192</v>
      </c>
      <c r="I96">
        <v>1.4193389698420141E-5</v>
      </c>
    </row>
    <row r="97" spans="7:9" x14ac:dyDescent="0.35">
      <c r="G97">
        <v>147.5</v>
      </c>
      <c r="H97">
        <v>5.2453023502097862</v>
      </c>
      <c r="I97">
        <v>1.0725375926901831E-5</v>
      </c>
    </row>
    <row r="98" spans="7:9" x14ac:dyDescent="0.35">
      <c r="G98">
        <v>148</v>
      </c>
      <c r="H98">
        <v>5.2654078435240317</v>
      </c>
      <c r="I98">
        <v>8.075587115739382E-6</v>
      </c>
    </row>
    <row r="99" spans="7:9" x14ac:dyDescent="0.35">
      <c r="G99">
        <v>148.5</v>
      </c>
      <c r="H99">
        <v>5.285441584512653</v>
      </c>
      <c r="I99">
        <v>6.0588205128361818E-6</v>
      </c>
    </row>
    <row r="100" spans="7:9" x14ac:dyDescent="0.35">
      <c r="G100">
        <v>149</v>
      </c>
      <c r="H100">
        <v>5.3054197058713815</v>
      </c>
      <c r="I100">
        <v>4.5297210423090915E-6</v>
      </c>
    </row>
    <row r="101" spans="7:9" x14ac:dyDescent="0.35">
      <c r="G101">
        <v>149.5</v>
      </c>
      <c r="H101">
        <v>5.3253548927254073</v>
      </c>
      <c r="I101">
        <v>3.3747452473899634E-6</v>
      </c>
    </row>
    <row r="102" spans="7:9" x14ac:dyDescent="0.35">
      <c r="G102">
        <v>150</v>
      </c>
      <c r="H102">
        <v>5.3452570731478533</v>
      </c>
      <c r="I102">
        <v>2.5056087913075865E-6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 Down 2">
              <controlPr locked="0" defaultSize="0" autoLine="0" autoPict="0">
                <anchor moveWithCells="1">
                  <from>
                    <xdr:col>3</xdr:col>
                    <xdr:colOff>0</xdr:colOff>
                    <xdr:row>0</xdr:row>
                    <xdr:rowOff>215900</xdr:rowOff>
                  </from>
                  <to>
                    <xdr:col>4</xdr:col>
                    <xdr:colOff>0</xdr:colOff>
                    <xdr:row>1</xdr:row>
                    <xdr:rowOff>177800</xdr:rowOff>
                  </to>
                </anchor>
              </controlPr>
            </control>
          </mc:Choice>
        </mc:AlternateContent>
        <mc:AlternateContent xmlns:mc="http://schemas.openxmlformats.org/markup-compatibility/2006">
          <mc:Choice Requires="x14">
            <control shapeId="1027" r:id="rId5" name="Drop Down 3">
              <controlPr defaultSize="0" autoLine="0" autoPict="0">
                <anchor moveWithCells="1">
                  <from>
                    <xdr:col>3</xdr:col>
                    <xdr:colOff>603250</xdr:colOff>
                    <xdr:row>1</xdr:row>
                    <xdr:rowOff>0</xdr:rowOff>
                  </from>
                  <to>
                    <xdr:col>4</xdr:col>
                    <xdr:colOff>603250</xdr:colOff>
                    <xdr:row>1</xdr:row>
                    <xdr:rowOff>177800</xdr:rowOff>
                  </to>
                </anchor>
              </controlPr>
            </control>
          </mc:Choice>
        </mc:AlternateContent>
        <mc:AlternateContent xmlns:mc="http://schemas.openxmlformats.org/markup-compatibility/2006">
          <mc:Choice Requires="x14">
            <control shapeId="1028" r:id="rId6" name="Button 4">
              <controlPr defaultSize="0" print="0" autoFill="0" autoPict="0" macro="[0]!CreateGraphs">
                <anchor moveWithCells="1" sizeWithCells="1">
                  <from>
                    <xdr:col>0</xdr:col>
                    <xdr:colOff>838200</xdr:colOff>
                    <xdr:row>18</xdr:row>
                    <xdr:rowOff>0</xdr:rowOff>
                  </from>
                  <to>
                    <xdr:col>2</xdr:col>
                    <xdr:colOff>203200</xdr:colOff>
                    <xdr:row>20</xdr:row>
                    <xdr:rowOff>12700</xdr:rowOff>
                  </to>
                </anchor>
              </controlPr>
            </control>
          </mc:Choice>
        </mc:AlternateContent>
        <mc:AlternateContent xmlns:mc="http://schemas.openxmlformats.org/markup-compatibility/2006">
          <mc:Choice Requires="x14">
            <control shapeId="1029" r:id="rId7" name="Button 5">
              <controlPr defaultSize="0" print="0" autoFill="0" autoPict="0" macro="[0]!CalculateValues">
                <anchor moveWithCells="1" sizeWithCells="1">
                  <from>
                    <xdr:col>0</xdr:col>
                    <xdr:colOff>825500</xdr:colOff>
                    <xdr:row>22</xdr:row>
                    <xdr:rowOff>6350</xdr:rowOff>
                  </from>
                  <to>
                    <xdr:col>1</xdr:col>
                    <xdr:colOff>857250</xdr:colOff>
                    <xdr:row>24</xdr:row>
                    <xdr:rowOff>101600</xdr:rowOff>
                  </to>
                </anchor>
              </controlPr>
            </control>
          </mc:Choice>
        </mc:AlternateContent>
        <mc:AlternateContent xmlns:mc="http://schemas.openxmlformats.org/markup-compatibility/2006">
          <mc:Choice Requires="x14">
            <control shapeId="1030" r:id="rId8" name="Button 6">
              <controlPr defaultSize="0" print="0" autoFill="0" autoPict="0" macro="[0]!Clear">
                <anchor moveWithCells="1" sizeWithCells="1">
                  <from>
                    <xdr:col>1</xdr:col>
                    <xdr:colOff>0</xdr:colOff>
                    <xdr:row>12</xdr:row>
                    <xdr:rowOff>0</xdr:rowOff>
                  </from>
                  <to>
                    <xdr:col>2</xdr:col>
                    <xdr:colOff>342900</xdr:colOff>
                    <xdr:row>16</xdr:row>
                    <xdr:rowOff>171450</xdr:rowOff>
                  </to>
                </anchor>
              </controlPr>
            </control>
          </mc:Choice>
        </mc:AlternateContent>
        <mc:AlternateContent xmlns:mc="http://schemas.openxmlformats.org/markup-compatibility/2006">
          <mc:Choice Requires="x14">
            <control shapeId="1031" r:id="rId9" name="Drop Down 7">
              <controlPr defaultSize="0" autoLine="0" autoPict="0">
                <anchor moveWithCells="1">
                  <from>
                    <xdr:col>1</xdr:col>
                    <xdr:colOff>857250</xdr:colOff>
                    <xdr:row>23</xdr:row>
                    <xdr:rowOff>0</xdr:rowOff>
                  </from>
                  <to>
                    <xdr:col>3</xdr:col>
                    <xdr:colOff>12700</xdr:colOff>
                    <xdr:row>24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Mobasher Khan</dc:creator>
  <cp:lastModifiedBy>Mobasher Khan</cp:lastModifiedBy>
  <dcterms:created xsi:type="dcterms:W3CDTF">2019-02-08T04:47:38Z</dcterms:created>
  <dcterms:modified xsi:type="dcterms:W3CDTF">2019-02-28T21:27:39Z</dcterms:modified>
</cp:coreProperties>
</file>